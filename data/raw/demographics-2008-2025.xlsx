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1203\Desktop\展皓資料\4.統計業務\保護司官網上架資料\114年\性侵害案件\"/>
    </mc:Choice>
  </mc:AlternateContent>
  <xr:revisionPtr revIDLastSave="0" documentId="13_ncr:1_{FD815166-66D9-4207-AA41-75B429FC23F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性侵害案件被害人年齡與性別交叉統計" sheetId="1" r:id="rId1"/>
  </sheets>
  <definedNames>
    <definedName name="_xlnm.Print_Titles" localSheetId="0">性侵害案件被害人年齡與性別交叉統計!$3:$5</definedName>
  </definedNames>
  <calcPr calcId="191029"/>
</workbook>
</file>

<file path=xl/calcChain.xml><?xml version="1.0" encoding="utf-8"?>
<calcChain xmlns="http://schemas.openxmlformats.org/spreadsheetml/2006/main">
  <c r="O79" i="1" l="1"/>
  <c r="M79" i="1"/>
  <c r="L79" i="1"/>
  <c r="K79" i="1"/>
  <c r="J79" i="1"/>
  <c r="I79" i="1"/>
  <c r="H79" i="1"/>
  <c r="F79" i="1"/>
  <c r="E79" i="1"/>
  <c r="D79" i="1"/>
  <c r="N78" i="1"/>
  <c r="G78" i="1"/>
  <c r="P78" i="1" s="1"/>
  <c r="N77" i="1"/>
  <c r="G77" i="1"/>
  <c r="P77" i="1" s="1"/>
  <c r="N76" i="1"/>
  <c r="G76" i="1"/>
  <c r="P76" i="1" s="1"/>
  <c r="N75" i="1"/>
  <c r="N79" i="1" s="1"/>
  <c r="G75" i="1"/>
  <c r="G79" i="1" s="1"/>
  <c r="P75" i="1" l="1"/>
  <c r="P79" i="1" s="1"/>
  <c r="O84" i="1"/>
  <c r="M84" i="1"/>
  <c r="L84" i="1"/>
  <c r="K84" i="1"/>
  <c r="J84" i="1"/>
  <c r="I84" i="1"/>
  <c r="H84" i="1"/>
  <c r="F84" i="1"/>
  <c r="E84" i="1"/>
  <c r="D84" i="1"/>
  <c r="N83" i="1"/>
  <c r="G83" i="1"/>
  <c r="N82" i="1"/>
  <c r="G82" i="1"/>
  <c r="N81" i="1"/>
  <c r="G81" i="1"/>
  <c r="N80" i="1"/>
  <c r="G80" i="1"/>
  <c r="O74" i="1"/>
  <c r="M74" i="1"/>
  <c r="L74" i="1"/>
  <c r="K74" i="1"/>
  <c r="J74" i="1"/>
  <c r="I74" i="1"/>
  <c r="H74" i="1"/>
  <c r="F74" i="1"/>
  <c r="E74" i="1"/>
  <c r="D74" i="1"/>
  <c r="N73" i="1"/>
  <c r="G73" i="1"/>
  <c r="N72" i="1"/>
  <c r="G72" i="1"/>
  <c r="N71" i="1"/>
  <c r="G71" i="1"/>
  <c r="P71" i="1" s="1"/>
  <c r="N70" i="1"/>
  <c r="G70" i="1"/>
  <c r="O69" i="1"/>
  <c r="M69" i="1"/>
  <c r="L69" i="1"/>
  <c r="K69" i="1"/>
  <c r="J69" i="1"/>
  <c r="I69" i="1"/>
  <c r="H69" i="1"/>
  <c r="F69" i="1"/>
  <c r="E69" i="1"/>
  <c r="D69" i="1"/>
  <c r="P68" i="1"/>
  <c r="N68" i="1"/>
  <c r="G68" i="1"/>
  <c r="N67" i="1"/>
  <c r="G67" i="1"/>
  <c r="P67" i="1" s="1"/>
  <c r="N66" i="1"/>
  <c r="G66" i="1"/>
  <c r="N65" i="1"/>
  <c r="G65" i="1"/>
  <c r="P65" i="1" s="1"/>
  <c r="O64" i="1"/>
  <c r="M64" i="1"/>
  <c r="L64" i="1"/>
  <c r="K64" i="1"/>
  <c r="J64" i="1"/>
  <c r="I64" i="1"/>
  <c r="H64" i="1"/>
  <c r="F64" i="1"/>
  <c r="E64" i="1"/>
  <c r="D64" i="1"/>
  <c r="N63" i="1"/>
  <c r="G63" i="1"/>
  <c r="N62" i="1"/>
  <c r="G62" i="1"/>
  <c r="P62" i="1" s="1"/>
  <c r="N61" i="1"/>
  <c r="G61" i="1"/>
  <c r="N60" i="1"/>
  <c r="G60" i="1"/>
  <c r="P60" i="1" s="1"/>
  <c r="O59" i="1"/>
  <c r="M59" i="1"/>
  <c r="L59" i="1"/>
  <c r="K59" i="1"/>
  <c r="J59" i="1"/>
  <c r="I59" i="1"/>
  <c r="H59" i="1"/>
  <c r="F59" i="1"/>
  <c r="E59" i="1"/>
  <c r="D59" i="1"/>
  <c r="N58" i="1"/>
  <c r="G58" i="1"/>
  <c r="P58" i="1" s="1"/>
  <c r="N57" i="1"/>
  <c r="G57" i="1"/>
  <c r="N56" i="1"/>
  <c r="G56" i="1"/>
  <c r="N55" i="1"/>
  <c r="G55" i="1"/>
  <c r="P55" i="1" s="1"/>
  <c r="O54" i="1"/>
  <c r="M54" i="1"/>
  <c r="L54" i="1"/>
  <c r="K54" i="1"/>
  <c r="J54" i="1"/>
  <c r="I54" i="1"/>
  <c r="H54" i="1"/>
  <c r="F54" i="1"/>
  <c r="E54" i="1"/>
  <c r="D54" i="1"/>
  <c r="N53" i="1"/>
  <c r="G53" i="1"/>
  <c r="N52" i="1"/>
  <c r="G52" i="1"/>
  <c r="N51" i="1"/>
  <c r="G51" i="1"/>
  <c r="N50" i="1"/>
  <c r="G50" i="1"/>
  <c r="G54" i="1" s="1"/>
  <c r="O49" i="1"/>
  <c r="M49" i="1"/>
  <c r="L49" i="1"/>
  <c r="K49" i="1"/>
  <c r="J49" i="1"/>
  <c r="I49" i="1"/>
  <c r="H49" i="1"/>
  <c r="F49" i="1"/>
  <c r="E49" i="1"/>
  <c r="D49" i="1"/>
  <c r="N48" i="1"/>
  <c r="G48" i="1"/>
  <c r="N47" i="1"/>
  <c r="G47" i="1"/>
  <c r="N46" i="1"/>
  <c r="G46" i="1"/>
  <c r="O45" i="1"/>
  <c r="M45" i="1"/>
  <c r="L45" i="1"/>
  <c r="K45" i="1"/>
  <c r="J45" i="1"/>
  <c r="I45" i="1"/>
  <c r="H45" i="1"/>
  <c r="F45" i="1"/>
  <c r="E45" i="1"/>
  <c r="D45" i="1"/>
  <c r="N44" i="1"/>
  <c r="G44" i="1"/>
  <c r="N43" i="1"/>
  <c r="G43" i="1"/>
  <c r="P43" i="1" s="1"/>
  <c r="N42" i="1"/>
  <c r="N45" i="1" s="1"/>
  <c r="G42" i="1"/>
  <c r="O41" i="1"/>
  <c r="M41" i="1"/>
  <c r="L41" i="1"/>
  <c r="K41" i="1"/>
  <c r="J41" i="1"/>
  <c r="I41" i="1"/>
  <c r="H41" i="1"/>
  <c r="F41" i="1"/>
  <c r="E41" i="1"/>
  <c r="D41" i="1"/>
  <c r="N40" i="1"/>
  <c r="G40" i="1"/>
  <c r="N39" i="1"/>
  <c r="G39" i="1"/>
  <c r="P39" i="1" s="1"/>
  <c r="N38" i="1"/>
  <c r="N41" i="1" s="1"/>
  <c r="G38" i="1"/>
  <c r="O37" i="1"/>
  <c r="M37" i="1"/>
  <c r="L37" i="1"/>
  <c r="K37" i="1"/>
  <c r="J37" i="1"/>
  <c r="I37" i="1"/>
  <c r="H37" i="1"/>
  <c r="F37" i="1"/>
  <c r="E37" i="1"/>
  <c r="D37" i="1"/>
  <c r="N36" i="1"/>
  <c r="G36" i="1"/>
  <c r="N35" i="1"/>
  <c r="G35" i="1"/>
  <c r="P35" i="1" s="1"/>
  <c r="N34" i="1"/>
  <c r="N37" i="1" s="1"/>
  <c r="G34" i="1"/>
  <c r="O33" i="1"/>
  <c r="M33" i="1"/>
  <c r="L33" i="1"/>
  <c r="K33" i="1"/>
  <c r="J33" i="1"/>
  <c r="I33" i="1"/>
  <c r="H33" i="1"/>
  <c r="F33" i="1"/>
  <c r="E33" i="1"/>
  <c r="D33" i="1"/>
  <c r="N32" i="1"/>
  <c r="G32" i="1"/>
  <c r="N31" i="1"/>
  <c r="G31" i="1"/>
  <c r="N30" i="1"/>
  <c r="G30" i="1"/>
  <c r="O29" i="1"/>
  <c r="M29" i="1"/>
  <c r="L29" i="1"/>
  <c r="K29" i="1"/>
  <c r="J29" i="1"/>
  <c r="I29" i="1"/>
  <c r="H29" i="1"/>
  <c r="F29" i="1"/>
  <c r="E29" i="1"/>
  <c r="D29" i="1"/>
  <c r="N28" i="1"/>
  <c r="G28" i="1"/>
  <c r="N27" i="1"/>
  <c r="G27" i="1"/>
  <c r="N26" i="1"/>
  <c r="G26" i="1"/>
  <c r="O25" i="1"/>
  <c r="M25" i="1"/>
  <c r="L25" i="1"/>
  <c r="K25" i="1"/>
  <c r="J25" i="1"/>
  <c r="I25" i="1"/>
  <c r="H25" i="1"/>
  <c r="F25" i="1"/>
  <c r="E25" i="1"/>
  <c r="D25" i="1"/>
  <c r="N24" i="1"/>
  <c r="G24" i="1"/>
  <c r="P24" i="1" s="1"/>
  <c r="N23" i="1"/>
  <c r="G23" i="1"/>
  <c r="P23" i="1" s="1"/>
  <c r="N22" i="1"/>
  <c r="N25" i="1" s="1"/>
  <c r="G22" i="1"/>
  <c r="O21" i="1"/>
  <c r="M21" i="1"/>
  <c r="L21" i="1"/>
  <c r="K21" i="1"/>
  <c r="J21" i="1"/>
  <c r="I21" i="1"/>
  <c r="H21" i="1"/>
  <c r="F21" i="1"/>
  <c r="E21" i="1"/>
  <c r="D21" i="1"/>
  <c r="N20" i="1"/>
  <c r="G20" i="1"/>
  <c r="N19" i="1"/>
  <c r="G19" i="1"/>
  <c r="P19" i="1" s="1"/>
  <c r="N18" i="1"/>
  <c r="G18" i="1"/>
  <c r="O17" i="1"/>
  <c r="M17" i="1"/>
  <c r="L17" i="1"/>
  <c r="K17" i="1"/>
  <c r="J17" i="1"/>
  <c r="I17" i="1"/>
  <c r="H17" i="1"/>
  <c r="F17" i="1"/>
  <c r="E17" i="1"/>
  <c r="D17" i="1"/>
  <c r="N16" i="1"/>
  <c r="G16" i="1"/>
  <c r="P16" i="1" s="1"/>
  <c r="N15" i="1"/>
  <c r="G15" i="1"/>
  <c r="N14" i="1"/>
  <c r="G14" i="1"/>
  <c r="P14" i="1" s="1"/>
  <c r="O13" i="1"/>
  <c r="M13" i="1"/>
  <c r="L13" i="1"/>
  <c r="K13" i="1"/>
  <c r="J13" i="1"/>
  <c r="I13" i="1"/>
  <c r="H13" i="1"/>
  <c r="F13" i="1"/>
  <c r="E13" i="1"/>
  <c r="D13" i="1"/>
  <c r="N12" i="1"/>
  <c r="G12" i="1"/>
  <c r="N11" i="1"/>
  <c r="G11" i="1"/>
  <c r="P11" i="1" s="1"/>
  <c r="N10" i="1"/>
  <c r="N13" i="1" s="1"/>
  <c r="G10" i="1"/>
  <c r="O9" i="1"/>
  <c r="M9" i="1"/>
  <c r="L9" i="1"/>
  <c r="K9" i="1"/>
  <c r="J9" i="1"/>
  <c r="I9" i="1"/>
  <c r="H9" i="1"/>
  <c r="F9" i="1"/>
  <c r="E9" i="1"/>
  <c r="D9" i="1"/>
  <c r="N8" i="1"/>
  <c r="G8" i="1"/>
  <c r="P8" i="1" s="1"/>
  <c r="N7" i="1"/>
  <c r="G7" i="1"/>
  <c r="P7" i="1" s="1"/>
  <c r="N6" i="1"/>
  <c r="G6" i="1"/>
  <c r="P38" i="1" l="1"/>
  <c r="P42" i="1"/>
  <c r="P46" i="1"/>
  <c r="P81" i="1"/>
  <c r="P82" i="1"/>
  <c r="P28" i="1"/>
  <c r="P32" i="1"/>
  <c r="P36" i="1"/>
  <c r="P40" i="1"/>
  <c r="P41" i="1" s="1"/>
  <c r="N49" i="1"/>
  <c r="P53" i="1"/>
  <c r="P56" i="1"/>
  <c r="N17" i="1"/>
  <c r="N29" i="1"/>
  <c r="G13" i="1"/>
  <c r="P63" i="1"/>
  <c r="P6" i="1"/>
  <c r="P10" i="1"/>
  <c r="P13" i="1" s="1"/>
  <c r="N84" i="1"/>
  <c r="G64" i="1"/>
  <c r="P18" i="1"/>
  <c r="P21" i="1" s="1"/>
  <c r="G25" i="1"/>
  <c r="P48" i="1"/>
  <c r="P52" i="1"/>
  <c r="P72" i="1"/>
  <c r="P12" i="1"/>
  <c r="N21" i="1"/>
  <c r="N59" i="1"/>
  <c r="G29" i="1"/>
  <c r="G45" i="1"/>
  <c r="P73" i="1"/>
  <c r="P20" i="1"/>
  <c r="P26" i="1"/>
  <c r="P30" i="1"/>
  <c r="G49" i="1"/>
  <c r="P57" i="1"/>
  <c r="P83" i="1"/>
  <c r="P27" i="1"/>
  <c r="N33" i="1"/>
  <c r="G37" i="1"/>
  <c r="N64" i="1"/>
  <c r="P31" i="1"/>
  <c r="G17" i="1"/>
  <c r="P66" i="1"/>
  <c r="N69" i="1"/>
  <c r="G74" i="1"/>
  <c r="N9" i="1"/>
  <c r="N74" i="1"/>
  <c r="P70" i="1"/>
  <c r="G33" i="1"/>
  <c r="P44" i="1"/>
  <c r="P45" i="1" s="1"/>
  <c r="P50" i="1"/>
  <c r="P51" i="1"/>
  <c r="G84" i="1"/>
  <c r="P69" i="1"/>
  <c r="P9" i="1"/>
  <c r="P47" i="1"/>
  <c r="P49" i="1" s="1"/>
  <c r="P61" i="1"/>
  <c r="P64" i="1" s="1"/>
  <c r="N54" i="1"/>
  <c r="P22" i="1"/>
  <c r="P25" i="1" s="1"/>
  <c r="G59" i="1"/>
  <c r="G9" i="1"/>
  <c r="P34" i="1"/>
  <c r="G41" i="1"/>
  <c r="G69" i="1"/>
  <c r="G21" i="1"/>
  <c r="P15" i="1"/>
  <c r="P17" i="1" s="1"/>
  <c r="P80" i="1"/>
  <c r="P84" i="1" l="1"/>
  <c r="P59" i="1"/>
  <c r="P37" i="1"/>
  <c r="P33" i="1"/>
  <c r="P74" i="1"/>
  <c r="P54" i="1"/>
  <c r="P29" i="1"/>
</calcChain>
</file>

<file path=xl/sharedStrings.xml><?xml version="1.0" encoding="utf-8"?>
<sst xmlns="http://schemas.openxmlformats.org/spreadsheetml/2006/main" count="120" uniqueCount="42">
  <si>
    <t>性侵害案件被害人年齡與性別交叉統計</t>
  </si>
  <si>
    <t>年份</t>
  </si>
  <si>
    <t>性別</t>
  </si>
  <si>
    <t>性侵害案件受暴人數</t>
  </si>
  <si>
    <t>年齡區間</t>
  </si>
  <si>
    <t>未滿18歲</t>
  </si>
  <si>
    <t>18歲以上</t>
  </si>
  <si>
    <t>不詳</t>
  </si>
  <si>
    <t>總計</t>
  </si>
  <si>
    <t>0~6歲未滿</t>
  </si>
  <si>
    <t>6~12歲未滿</t>
  </si>
  <si>
    <t>12~18歲未滿</t>
  </si>
  <si>
    <t>合計</t>
  </si>
  <si>
    <t>18~24歲未滿</t>
  </si>
  <si>
    <t>24~30歲未滿</t>
  </si>
  <si>
    <t>30~40歲未滿</t>
  </si>
  <si>
    <t>40~50歲未滿</t>
  </si>
  <si>
    <t>50~65歲未滿</t>
  </si>
  <si>
    <t>65歲以上</t>
  </si>
  <si>
    <t>2008年</t>
  </si>
  <si>
    <t>男</t>
  </si>
  <si>
    <t>女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</si>
  <si>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</si>
  <si>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</si>
  <si>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</si>
  <si>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</si>
  <si>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</si>
  <si>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</si>
  <si>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</si>
  <si>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</si>
  <si>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</si>
  <si>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</si>
  <si>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</si>
  <si>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其他</t>
  </si>
  <si>
    <t>2020年</t>
  </si>
  <si>
    <t>2021年</t>
  </si>
  <si>
    <t>2022年</t>
  </si>
  <si>
    <t>2023年</t>
  </si>
  <si>
    <t>2024年</t>
  </si>
  <si>
    <r>
      <t>註：自</t>
    </r>
    <r>
      <rPr>
        <b/>
        <sz val="10"/>
        <color rgb="FFFF0000"/>
        <rFont val="Courier New"/>
        <family val="3"/>
      </rPr>
      <t>2019</t>
    </r>
    <r>
      <rPr>
        <b/>
        <sz val="10"/>
        <color rgb="FFFF0000"/>
        <rFont val="細明體"/>
        <family val="3"/>
        <charset val="136"/>
      </rPr>
      <t>年起，性別新增「其他」欄位。</t>
    </r>
  </si>
  <si>
    <t>統計期間為2008年至2025年</t>
    <phoneticPr fontId="25" type="noConversion"/>
  </si>
  <si>
    <t>2025年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</si>
</sst>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(&quot;#,##0&quot;)&quot;"/>
  </numFmts>
  <fonts count="26">
    <font>
      <sz val="10"/>
      <color rgb="FF000000"/>
      <name val="MingLiu"/>
      <charset val="136"/>
    </font>
    <font>
      <sz val="10"/>
      <color rgb="FF000000"/>
      <name val="MingLiu"/>
      <charset val="136"/>
    </font>
    <font>
      <sz val="12"/>
      <color rgb="FF9C6500"/>
      <name val="新細明體"/>
      <family val="1"/>
      <charset val="136"/>
    </font>
    <font>
      <b/>
      <sz val="12"/>
      <color rgb="FF000000"/>
      <name val="新細明體"/>
      <family val="1"/>
      <charset val="136"/>
    </font>
    <font>
      <sz val="12"/>
      <color rgb="FF9C0006"/>
      <name val="新細明體"/>
      <family val="1"/>
      <charset val="136"/>
    </font>
    <font>
      <sz val="12"/>
      <color rgb="FF006100"/>
      <name val="新細明體"/>
      <family val="1"/>
      <charset val="136"/>
    </font>
    <font>
      <b/>
      <sz val="18"/>
      <color rgb="FF1F497D"/>
      <name val="新細明體"/>
      <family val="1"/>
      <charset val="136"/>
    </font>
    <font>
      <b/>
      <sz val="15"/>
      <color rgb="FF1F497D"/>
      <name val="新細明體"/>
      <family val="1"/>
      <charset val="136"/>
    </font>
    <font>
      <b/>
      <sz val="13"/>
      <color rgb="FF1F497D"/>
      <name val="新細明體"/>
      <family val="1"/>
      <charset val="136"/>
    </font>
    <font>
      <b/>
      <sz val="11"/>
      <color rgb="FF1F497D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b/>
      <sz val="12"/>
      <color rgb="FFFA7D00"/>
      <name val="新細明體"/>
      <family val="1"/>
      <charset val="136"/>
    </font>
    <font>
      <i/>
      <sz val="12"/>
      <color rgb="FF7F7F7F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FFFFFF"/>
      <name val="新細明體"/>
      <family val="1"/>
      <charset val="136"/>
    </font>
    <font>
      <sz val="12"/>
      <color rgb="FF3F3F76"/>
      <name val="新細明體"/>
      <family val="1"/>
      <charset val="136"/>
    </font>
    <font>
      <b/>
      <sz val="12"/>
      <color rgb="FF3F3F3F"/>
      <name val="新細明體"/>
      <family val="1"/>
      <charset val="136"/>
    </font>
    <font>
      <sz val="12"/>
      <color rgb="FFFA7D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8"/>
      <color rgb="FF000000"/>
      <name val="微軟正黑體"/>
      <family val="2"/>
      <charset val="136"/>
    </font>
    <font>
      <sz val="10"/>
      <color rgb="FF000000"/>
      <name val="Courier New"/>
      <family val="3"/>
    </font>
    <font>
      <b/>
      <sz val="12"/>
      <color rgb="FF0070C0"/>
      <name val="新細明體"/>
      <family val="1"/>
      <charset val="136"/>
    </font>
    <font>
      <b/>
      <sz val="12"/>
      <color rgb="FF333333"/>
      <name val="新細明體"/>
      <family val="1"/>
      <charset val="136"/>
    </font>
    <font>
      <b/>
      <sz val="10"/>
      <color rgb="FFFF0000"/>
      <name val="細明體"/>
      <family val="3"/>
      <charset val="136"/>
    </font>
    <font>
      <b/>
      <sz val="10"/>
      <color rgb="FFFF0000"/>
      <name val="Courier New"/>
      <family val="3"/>
    </font>
    <font>
      <sz val="9"/>
      <name val="MingLiu"/>
      <charset val="136"/>
    </font>
  </fonts>
  <fills count="36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C99"/>
        <bgColor rgb="FFFFCC99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0070C0"/>
        <bgColor rgb="FF0070C0"/>
      </patternFill>
    </fill>
    <fill>
      <patternFill patternType="solid">
        <fgColor rgb="FFD5D5FF"/>
        <bgColor rgb="FFD5D5FF"/>
      </patternFill>
    </fill>
    <fill>
      <patternFill patternType="solid">
        <fgColor rgb="FFFFFF99"/>
        <bgColor rgb="FFFFFF99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 style="thin">
        <color rgb="FF808080"/>
      </right>
      <top style="thin">
        <color rgb="FFC0C0C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C0C0C0"/>
      </top>
      <bottom style="thin">
        <color rgb="FF808080"/>
      </bottom>
      <diagonal/>
    </border>
    <border>
      <left style="thin">
        <color rgb="FF808080"/>
      </left>
      <right/>
      <top style="thin">
        <color rgb="FFC0C0C0"/>
      </top>
      <bottom style="thin">
        <color rgb="FF808080"/>
      </bottom>
      <diagonal/>
    </border>
    <border>
      <left style="thin">
        <color rgb="FF808080"/>
      </left>
      <right style="thin">
        <color rgb="FFC0C0C0"/>
      </right>
      <top style="thin">
        <color rgb="FFC0C0C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C0C0C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80808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5" fillId="5" borderId="0" applyNumberFormat="0" applyBorder="0" applyAlignment="0" applyProtection="0"/>
    <xf numFmtId="0" fontId="4" fillId="4" borderId="0" applyNumberFormat="0" applyBorder="0" applyAlignment="0" applyProtection="0"/>
    <xf numFmtId="0" fontId="2" fillId="2" borderId="0" applyNumberFormat="0" applyBorder="0" applyAlignment="0" applyProtection="0"/>
    <xf numFmtId="0" fontId="15" fillId="14" borderId="1" applyNumberFormat="0" applyAlignment="0" applyProtection="0"/>
    <xf numFmtId="0" fontId="16" fillId="7" borderId="2" applyNumberFormat="0" applyAlignment="0" applyProtection="0"/>
    <xf numFmtId="0" fontId="11" fillId="7" borderId="1" applyNumberFormat="0" applyAlignment="0" applyProtection="0"/>
    <xf numFmtId="0" fontId="17" fillId="0" borderId="3" applyNumberFormat="0" applyFill="0" applyAlignment="0" applyProtection="0"/>
    <xf numFmtId="0" fontId="10" fillId="6" borderId="4" applyNumberFormat="0" applyAlignment="0" applyProtection="0"/>
    <xf numFmtId="0" fontId="13" fillId="0" borderId="0" applyNumberFormat="0" applyFill="0" applyBorder="0" applyAlignment="0" applyProtection="0"/>
    <xf numFmtId="0" fontId="1" fillId="3" borderId="5" applyNumberFormat="0" applyFont="0" applyAlignment="0" applyProtection="0"/>
    <xf numFmtId="0" fontId="12" fillId="0" borderId="0" applyNumberFormat="0" applyFill="0" applyBorder="0" applyAlignment="0" applyProtection="0"/>
    <xf numFmtId="0" fontId="3" fillId="0" borderId="6" applyNumberFormat="0" applyFill="0" applyAlignment="0" applyProtection="0"/>
    <xf numFmtId="0" fontId="14" fillId="8" borderId="0" applyNumberFormat="0" applyBorder="0" applyAlignment="0" applyProtection="0"/>
    <xf numFmtId="0" fontId="18" fillId="15" borderId="0" applyNumberFormat="0" applyBorder="0" applyAlignment="0" applyProtection="0"/>
    <xf numFmtId="0" fontId="18" fillId="21" borderId="0" applyNumberFormat="0" applyBorder="0" applyAlignment="0" applyProtection="0"/>
    <xf numFmtId="0" fontId="14" fillId="27" borderId="0" applyNumberFormat="0" applyBorder="0" applyAlignment="0" applyProtection="0"/>
    <xf numFmtId="0" fontId="14" fillId="9" borderId="0" applyNumberFormat="0" applyBorder="0" applyAlignment="0" applyProtection="0"/>
    <xf numFmtId="0" fontId="18" fillId="16" borderId="0" applyNumberFormat="0" applyBorder="0" applyAlignment="0" applyProtection="0"/>
    <xf numFmtId="0" fontId="18" fillId="22" borderId="0" applyNumberFormat="0" applyBorder="0" applyAlignment="0" applyProtection="0"/>
    <xf numFmtId="0" fontId="14" fillId="28" borderId="0" applyNumberFormat="0" applyBorder="0" applyAlignment="0" applyProtection="0"/>
    <xf numFmtId="0" fontId="14" fillId="10" borderId="0" applyNumberFormat="0" applyBorder="0" applyAlignment="0" applyProtection="0"/>
    <xf numFmtId="0" fontId="18" fillId="17" borderId="0" applyNumberFormat="0" applyBorder="0" applyAlignment="0" applyProtection="0"/>
    <xf numFmtId="0" fontId="18" fillId="23" borderId="0" applyNumberFormat="0" applyBorder="0" applyAlignment="0" applyProtection="0"/>
    <xf numFmtId="0" fontId="14" fillId="29" borderId="0" applyNumberFormat="0" applyBorder="0" applyAlignment="0" applyProtection="0"/>
    <xf numFmtId="0" fontId="14" fillId="11" borderId="0" applyNumberFormat="0" applyBorder="0" applyAlignment="0" applyProtection="0"/>
    <xf numFmtId="0" fontId="18" fillId="18" borderId="0" applyNumberFormat="0" applyBorder="0" applyAlignment="0" applyProtection="0"/>
    <xf numFmtId="0" fontId="18" fillId="24" borderId="0" applyNumberFormat="0" applyBorder="0" applyAlignment="0" applyProtection="0"/>
    <xf numFmtId="0" fontId="14" fillId="30" borderId="0" applyNumberFormat="0" applyBorder="0" applyAlignment="0" applyProtection="0"/>
    <xf numFmtId="0" fontId="14" fillId="12" borderId="0" applyNumberFormat="0" applyBorder="0" applyAlignment="0" applyProtection="0"/>
    <xf numFmtId="0" fontId="18" fillId="19" borderId="0" applyNumberFormat="0" applyBorder="0" applyAlignment="0" applyProtection="0"/>
    <xf numFmtId="0" fontId="18" fillId="25" borderId="0" applyNumberFormat="0" applyBorder="0" applyAlignment="0" applyProtection="0"/>
    <xf numFmtId="0" fontId="14" fillId="31" borderId="0" applyNumberFormat="0" applyBorder="0" applyAlignment="0" applyProtection="0"/>
    <xf numFmtId="0" fontId="14" fillId="13" borderId="0" applyNumberFormat="0" applyBorder="0" applyAlignment="0" applyProtection="0"/>
    <xf numFmtId="0" fontId="18" fillId="20" borderId="0" applyNumberFormat="0" applyBorder="0" applyAlignment="0" applyProtection="0"/>
    <xf numFmtId="0" fontId="18" fillId="26" borderId="0" applyNumberFormat="0" applyBorder="0" applyAlignment="0" applyProtection="0"/>
    <xf numFmtId="0" fontId="14" fillId="32" borderId="0" applyNumberFormat="0" applyBorder="0" applyAlignment="0" applyProtection="0"/>
  </cellStyleXfs>
  <cellXfs count="22">
    <xf numFmtId="0" fontId="0" fillId="0" borderId="0" xfId="0"/>
    <xf numFmtId="0" fontId="20" fillId="0" borderId="0" xfId="0" applyFont="1" applyAlignment="1"/>
    <xf numFmtId="0" fontId="0" fillId="0" borderId="0" xfId="0" applyAlignment="1"/>
    <xf numFmtId="0" fontId="21" fillId="33" borderId="12" xfId="0" applyFont="1" applyFill="1" applyBorder="1" applyAlignment="1">
      <alignment horizontal="center" vertical="center" wrapText="1"/>
    </xf>
    <xf numFmtId="0" fontId="22" fillId="35" borderId="15" xfId="0" applyFont="1" applyFill="1" applyBorder="1" applyAlignment="1">
      <alignment horizontal="center" vertical="center" wrapText="1"/>
    </xf>
    <xf numFmtId="0" fontId="22" fillId="34" borderId="16" xfId="0" applyFont="1" applyFill="1" applyBorder="1" applyAlignment="1">
      <alignment horizontal="center" vertical="center" wrapText="1"/>
    </xf>
    <xf numFmtId="176" fontId="18" fillId="0" borderId="18" xfId="0" applyNumberFormat="1" applyFont="1" applyBorder="1" applyAlignment="1">
      <alignment horizontal="right" vertical="center"/>
    </xf>
    <xf numFmtId="176" fontId="22" fillId="35" borderId="19" xfId="0" applyNumberFormat="1" applyFont="1" applyFill="1" applyBorder="1" applyAlignment="1">
      <alignment horizontal="right" vertical="center"/>
    </xf>
    <xf numFmtId="0" fontId="23" fillId="0" borderId="0" xfId="0" applyFont="1" applyAlignment="1"/>
    <xf numFmtId="0" fontId="22" fillId="34" borderId="22" xfId="0" applyFont="1" applyFill="1" applyBorder="1" applyAlignment="1">
      <alignment horizontal="left" vertical="center" wrapText="1"/>
    </xf>
    <xf numFmtId="0" fontId="22" fillId="34" borderId="20" xfId="0" applyFont="1" applyFill="1" applyBorder="1" applyAlignment="1">
      <alignment horizontal="left" vertical="top" wrapText="1"/>
    </xf>
    <xf numFmtId="176" fontId="22" fillId="35" borderId="20" xfId="0" applyNumberFormat="1" applyFont="1" applyFill="1" applyBorder="1" applyAlignment="1">
      <alignment horizontal="center" vertical="center"/>
    </xf>
    <xf numFmtId="0" fontId="19" fillId="0" borderId="0" xfId="0" applyFont="1" applyAlignment="1"/>
    <xf numFmtId="0" fontId="10" fillId="33" borderId="10" xfId="0" applyFont="1" applyFill="1" applyBorder="1" applyAlignment="1">
      <alignment horizontal="center" vertical="center" wrapText="1"/>
    </xf>
    <xf numFmtId="0" fontId="10" fillId="33" borderId="11" xfId="0" applyFont="1" applyFill="1" applyBorder="1" applyAlignment="1">
      <alignment horizontal="center" vertical="center" wrapText="1"/>
    </xf>
    <xf numFmtId="0" fontId="10" fillId="33" borderId="13" xfId="0" applyFont="1" applyFill="1" applyBorder="1" applyAlignment="1">
      <alignment horizontal="center" vertical="center" wrapText="1"/>
    </xf>
    <xf numFmtId="0" fontId="10" fillId="33" borderId="14" xfId="0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34" borderId="20" xfId="0" applyFont="1" applyFill="1" applyBorder="1" applyAlignment="1">
      <alignment horizontal="left" vertical="center" wrapText="1"/>
    </xf>
    <xf numFmtId="0" fontId="22" fillId="34" borderId="17" xfId="0" applyFont="1" applyFill="1" applyBorder="1" applyAlignment="1">
      <alignment horizontal="left" vertical="center" wrapText="1"/>
    </xf>
    <xf numFmtId="0" fontId="22" fillId="34" borderId="17" xfId="0" applyFont="1" applyFill="1" applyBorder="1" applyAlignment="1">
      <alignment horizontal="left" vertical="top" wrapText="1"/>
    </xf>
    <xf numFmtId="0" fontId="22" fillId="34" borderId="21" xfId="0" applyFont="1" applyFill="1" applyBorder="1" applyAlignment="1">
      <alignment horizontal="left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 customBuiltin="1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abSelected="1" workbookViewId="0">
      <pane xSplit="3" ySplit="5" topLeftCell="D63" activePane="bottomRight" state="frozen"/>
      <selection pane="topRight" activeCell="D1" sqref="D1"/>
      <selection pane="bottomLeft" activeCell="A6" sqref="A6"/>
      <selection pane="bottomRight" sqref="A1:Q1"/>
    </sheetView>
  </sheetViews>
  <sheetFormatPr defaultRowHeight="13.5"/>
  <cols>
    <col min="1" max="1" width="9.5703125" style="1" customWidth="1"/>
    <col min="2" max="2" width="6.85546875" style="1" bestFit="1" customWidth="1"/>
    <col min="3" max="3" width="11.85546875" style="1" bestFit="1" customWidth="1"/>
    <col min="4" max="14" width="8.7109375" style="1" customWidth="1"/>
    <col min="15" max="15" width="7.85546875" style="1" bestFit="1" customWidth="1"/>
    <col min="16" max="16" width="10.42578125" style="1" bestFit="1" customWidth="1"/>
    <col min="17" max="17" width="9.140625" style="1" customWidth="1"/>
    <col min="18" max="16384" width="9.140625" style="1"/>
  </cols>
  <sheetData>
    <row r="1" spans="1:17" ht="22.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4.25">
      <c r="A2" s="2" t="s">
        <v>40</v>
      </c>
      <c r="B2" s="2"/>
    </row>
    <row r="3" spans="1:17" ht="16.5" customHeight="1">
      <c r="A3" s="13" t="s">
        <v>1</v>
      </c>
      <c r="B3" s="14" t="s">
        <v>2</v>
      </c>
      <c r="C3" s="3"/>
      <c r="D3" s="15" t="s">
        <v>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7" ht="16.5">
      <c r="A4" s="13"/>
      <c r="B4" s="14"/>
      <c r="C4" s="16" t="s">
        <v>4</v>
      </c>
      <c r="D4" s="17" t="s">
        <v>5</v>
      </c>
      <c r="E4" s="17"/>
      <c r="F4" s="17"/>
      <c r="G4" s="17"/>
      <c r="H4" s="17" t="s">
        <v>6</v>
      </c>
      <c r="I4" s="17"/>
      <c r="J4" s="17"/>
      <c r="K4" s="17"/>
      <c r="L4" s="17"/>
      <c r="M4" s="17"/>
      <c r="N4" s="17"/>
      <c r="O4" s="17" t="s">
        <v>7</v>
      </c>
      <c r="P4" s="4" t="s">
        <v>8</v>
      </c>
    </row>
    <row r="5" spans="1:17" ht="33.75" customHeight="1">
      <c r="A5" s="13"/>
      <c r="B5" s="14"/>
      <c r="C5" s="16"/>
      <c r="D5" s="5" t="s">
        <v>9</v>
      </c>
      <c r="E5" s="5" t="s">
        <v>10</v>
      </c>
      <c r="F5" s="5" t="s">
        <v>11</v>
      </c>
      <c r="G5" s="4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4" t="s">
        <v>12</v>
      </c>
      <c r="O5" s="17"/>
      <c r="P5" s="4" t="s">
        <v>8</v>
      </c>
    </row>
    <row r="6" spans="1:17" ht="16.5" customHeight="1">
      <c r="A6" s="19" t="s">
        <v>19</v>
      </c>
      <c r="B6" s="20" t="s">
        <v>20</v>
      </c>
      <c r="C6" s="20"/>
      <c r="D6" s="6">
        <v>19</v>
      </c>
      <c r="E6" s="6">
        <v>90</v>
      </c>
      <c r="F6" s="6">
        <v>228</v>
      </c>
      <c r="G6" s="7">
        <f>SUM(D6:F6)</f>
        <v>337</v>
      </c>
      <c r="H6" s="6">
        <v>30</v>
      </c>
      <c r="I6" s="6">
        <v>9</v>
      </c>
      <c r="J6" s="6">
        <v>5</v>
      </c>
      <c r="K6" s="6">
        <v>1</v>
      </c>
      <c r="L6" s="6">
        <v>1</v>
      </c>
      <c r="M6" s="6">
        <v>1</v>
      </c>
      <c r="N6" s="7">
        <f>SUM(H6:M6)</f>
        <v>47</v>
      </c>
      <c r="O6" s="6">
        <v>48</v>
      </c>
      <c r="P6" s="7">
        <f>G6+N6+O6</f>
        <v>432</v>
      </c>
    </row>
    <row r="7" spans="1:17" ht="16.5" customHeight="1">
      <c r="A7" s="19"/>
      <c r="B7" s="10" t="s">
        <v>21</v>
      </c>
      <c r="C7" s="10"/>
      <c r="D7" s="6">
        <v>213</v>
      </c>
      <c r="E7" s="6">
        <v>510</v>
      </c>
      <c r="F7" s="6">
        <v>2958</v>
      </c>
      <c r="G7" s="7">
        <f>SUM(D7:F7)</f>
        <v>3681</v>
      </c>
      <c r="H7" s="6">
        <v>909</v>
      </c>
      <c r="I7" s="6">
        <v>558</v>
      </c>
      <c r="J7" s="6">
        <v>484</v>
      </c>
      <c r="K7" s="6">
        <v>241</v>
      </c>
      <c r="L7" s="6">
        <v>91</v>
      </c>
      <c r="M7" s="6">
        <v>24</v>
      </c>
      <c r="N7" s="7">
        <f>SUM(H7:M7)</f>
        <v>2307</v>
      </c>
      <c r="O7" s="6">
        <v>659</v>
      </c>
      <c r="P7" s="7">
        <f>G7+N7+O7</f>
        <v>6647</v>
      </c>
    </row>
    <row r="8" spans="1:17" ht="16.5" customHeight="1">
      <c r="A8" s="19"/>
      <c r="B8" s="10" t="s">
        <v>7</v>
      </c>
      <c r="C8" s="10"/>
      <c r="D8" s="6">
        <v>5</v>
      </c>
      <c r="E8" s="6">
        <v>17</v>
      </c>
      <c r="F8" s="6">
        <v>57</v>
      </c>
      <c r="G8" s="7">
        <f>SUM(D8:F8)</f>
        <v>79</v>
      </c>
      <c r="H8" s="6">
        <v>24</v>
      </c>
      <c r="I8" s="6">
        <v>11</v>
      </c>
      <c r="J8" s="6">
        <v>9</v>
      </c>
      <c r="K8" s="6">
        <v>4</v>
      </c>
      <c r="L8" s="6">
        <v>2</v>
      </c>
      <c r="M8" s="6">
        <v>48</v>
      </c>
      <c r="N8" s="7">
        <f>SUM(H8:M8)</f>
        <v>98</v>
      </c>
      <c r="O8" s="6">
        <v>29</v>
      </c>
      <c r="P8" s="7">
        <f>G8+N8+O8</f>
        <v>206</v>
      </c>
    </row>
    <row r="9" spans="1:17" ht="16.5" customHeight="1">
      <c r="A9" s="19"/>
      <c r="B9" s="11" t="s">
        <v>8</v>
      </c>
      <c r="C9" s="11"/>
      <c r="D9" s="7">
        <f t="shared" ref="D9:P9" si="0">SUM(D6:D8)</f>
        <v>237</v>
      </c>
      <c r="E9" s="7">
        <f t="shared" si="0"/>
        <v>617</v>
      </c>
      <c r="F9" s="7">
        <f t="shared" si="0"/>
        <v>3243</v>
      </c>
      <c r="G9" s="7">
        <f t="shared" si="0"/>
        <v>4097</v>
      </c>
      <c r="H9" s="7">
        <f t="shared" si="0"/>
        <v>963</v>
      </c>
      <c r="I9" s="7">
        <f t="shared" si="0"/>
        <v>578</v>
      </c>
      <c r="J9" s="7">
        <f t="shared" si="0"/>
        <v>498</v>
      </c>
      <c r="K9" s="7">
        <f t="shared" si="0"/>
        <v>246</v>
      </c>
      <c r="L9" s="7">
        <f t="shared" si="0"/>
        <v>94</v>
      </c>
      <c r="M9" s="7">
        <f t="shared" si="0"/>
        <v>73</v>
      </c>
      <c r="N9" s="7">
        <f t="shared" si="0"/>
        <v>2452</v>
      </c>
      <c r="O9" s="7">
        <f t="shared" si="0"/>
        <v>736</v>
      </c>
      <c r="P9" s="7">
        <f t="shared" si="0"/>
        <v>7285</v>
      </c>
    </row>
    <row r="10" spans="1:17" ht="16.5" customHeight="1">
      <c r="A10" s="18" t="s">
        <v>22</v>
      </c>
      <c r="B10" s="10" t="s">
        <v>20</v>
      </c>
      <c r="C10" s="10"/>
      <c r="D10" s="6">
        <v>16</v>
      </c>
      <c r="E10" s="6">
        <v>114</v>
      </c>
      <c r="F10" s="6">
        <v>329</v>
      </c>
      <c r="G10" s="7">
        <f>SUM(D10:F10)</f>
        <v>459</v>
      </c>
      <c r="H10" s="6">
        <v>31</v>
      </c>
      <c r="I10" s="6">
        <v>18</v>
      </c>
      <c r="J10" s="6">
        <v>7</v>
      </c>
      <c r="K10" s="6">
        <v>1</v>
      </c>
      <c r="L10" s="6">
        <v>0</v>
      </c>
      <c r="M10" s="6">
        <v>0</v>
      </c>
      <c r="N10" s="7">
        <f>SUM(H10:M10)</f>
        <v>57</v>
      </c>
      <c r="O10" s="6">
        <v>57</v>
      </c>
      <c r="P10" s="7">
        <f>G10+N10+O10</f>
        <v>573</v>
      </c>
    </row>
    <row r="11" spans="1:17" ht="16.5" customHeight="1">
      <c r="A11" s="18"/>
      <c r="B11" s="10" t="s">
        <v>21</v>
      </c>
      <c r="C11" s="10"/>
      <c r="D11" s="6">
        <v>244</v>
      </c>
      <c r="E11" s="6">
        <v>528</v>
      </c>
      <c r="F11" s="6">
        <v>3349</v>
      </c>
      <c r="G11" s="7">
        <f>SUM(D11:F11)</f>
        <v>4121</v>
      </c>
      <c r="H11" s="6">
        <v>960</v>
      </c>
      <c r="I11" s="6">
        <v>556</v>
      </c>
      <c r="J11" s="6">
        <v>582</v>
      </c>
      <c r="K11" s="6">
        <v>242</v>
      </c>
      <c r="L11" s="6">
        <v>106</v>
      </c>
      <c r="M11" s="6">
        <v>18</v>
      </c>
      <c r="N11" s="7">
        <f>SUM(H11:M11)</f>
        <v>2464</v>
      </c>
      <c r="O11" s="6">
        <v>633</v>
      </c>
      <c r="P11" s="7">
        <f>G11+N11+O11</f>
        <v>7218</v>
      </c>
    </row>
    <row r="12" spans="1:17" ht="16.5" customHeight="1">
      <c r="A12" s="18"/>
      <c r="B12" s="10" t="s">
        <v>7</v>
      </c>
      <c r="C12" s="10"/>
      <c r="D12" s="6">
        <v>10</v>
      </c>
      <c r="E12" s="6">
        <v>16</v>
      </c>
      <c r="F12" s="6">
        <v>78</v>
      </c>
      <c r="G12" s="7">
        <f>SUM(D12:F12)</f>
        <v>104</v>
      </c>
      <c r="H12" s="6">
        <v>26</v>
      </c>
      <c r="I12" s="6">
        <v>16</v>
      </c>
      <c r="J12" s="6">
        <v>13</v>
      </c>
      <c r="K12" s="6">
        <v>9</v>
      </c>
      <c r="L12" s="6">
        <v>1</v>
      </c>
      <c r="M12" s="6">
        <v>17</v>
      </c>
      <c r="N12" s="7">
        <f>SUM(H12:M12)</f>
        <v>82</v>
      </c>
      <c r="O12" s="6">
        <v>31</v>
      </c>
      <c r="P12" s="7">
        <f>G12+N12+O12</f>
        <v>217</v>
      </c>
    </row>
    <row r="13" spans="1:17" ht="16.5" customHeight="1">
      <c r="A13" s="18"/>
      <c r="B13" s="11" t="s">
        <v>8</v>
      </c>
      <c r="C13" s="11"/>
      <c r="D13" s="7">
        <f t="shared" ref="D13:P13" si="1">SUM(D10:D12)</f>
        <v>270</v>
      </c>
      <c r="E13" s="7">
        <f t="shared" si="1"/>
        <v>658</v>
      </c>
      <c r="F13" s="7">
        <f t="shared" si="1"/>
        <v>3756</v>
      </c>
      <c r="G13" s="7">
        <f t="shared" si="1"/>
        <v>4684</v>
      </c>
      <c r="H13" s="7">
        <f t="shared" si="1"/>
        <v>1017</v>
      </c>
      <c r="I13" s="7">
        <f t="shared" si="1"/>
        <v>590</v>
      </c>
      <c r="J13" s="7">
        <f t="shared" si="1"/>
        <v>602</v>
      </c>
      <c r="K13" s="7">
        <f t="shared" si="1"/>
        <v>252</v>
      </c>
      <c r="L13" s="7">
        <f t="shared" si="1"/>
        <v>107</v>
      </c>
      <c r="M13" s="7">
        <f t="shared" si="1"/>
        <v>35</v>
      </c>
      <c r="N13" s="7">
        <f t="shared" si="1"/>
        <v>2603</v>
      </c>
      <c r="O13" s="7">
        <f t="shared" si="1"/>
        <v>721</v>
      </c>
      <c r="P13" s="7">
        <f t="shared" si="1"/>
        <v>8008</v>
      </c>
    </row>
    <row r="14" spans="1:17" ht="16.5" customHeight="1">
      <c r="A14" s="18" t="s">
        <v>23</v>
      </c>
      <c r="B14" s="10" t="s">
        <v>20</v>
      </c>
      <c r="C14" s="10"/>
      <c r="D14" s="6">
        <v>28</v>
      </c>
      <c r="E14" s="6">
        <v>140</v>
      </c>
      <c r="F14" s="6">
        <v>443</v>
      </c>
      <c r="G14" s="7">
        <f>SUM(D14:F14)</f>
        <v>611</v>
      </c>
      <c r="H14" s="6">
        <v>61</v>
      </c>
      <c r="I14" s="6">
        <v>16</v>
      </c>
      <c r="J14" s="6">
        <v>10</v>
      </c>
      <c r="K14" s="6">
        <v>3</v>
      </c>
      <c r="L14" s="6">
        <v>2</v>
      </c>
      <c r="M14" s="6">
        <v>1</v>
      </c>
      <c r="N14" s="7">
        <f>SUM(H14:M14)</f>
        <v>93</v>
      </c>
      <c r="O14" s="6">
        <v>61</v>
      </c>
      <c r="P14" s="7">
        <f>G14+N14+O14</f>
        <v>765</v>
      </c>
    </row>
    <row r="15" spans="1:17" ht="16.5" customHeight="1">
      <c r="A15" s="18"/>
      <c r="B15" s="10" t="s">
        <v>21</v>
      </c>
      <c r="C15" s="10"/>
      <c r="D15" s="6">
        <v>228</v>
      </c>
      <c r="E15" s="6">
        <v>665</v>
      </c>
      <c r="F15" s="6">
        <v>4045</v>
      </c>
      <c r="G15" s="7">
        <f>SUM(D15:F15)</f>
        <v>4938</v>
      </c>
      <c r="H15" s="6">
        <v>1024</v>
      </c>
      <c r="I15" s="6">
        <v>608</v>
      </c>
      <c r="J15" s="6">
        <v>650</v>
      </c>
      <c r="K15" s="6">
        <v>291</v>
      </c>
      <c r="L15" s="6">
        <v>103</v>
      </c>
      <c r="M15" s="6">
        <v>33</v>
      </c>
      <c r="N15" s="7">
        <f>SUM(H15:M15)</f>
        <v>2709</v>
      </c>
      <c r="O15" s="6">
        <v>711</v>
      </c>
      <c r="P15" s="7">
        <f>G15+N15+O15</f>
        <v>8358</v>
      </c>
    </row>
    <row r="16" spans="1:17" ht="16.5" customHeight="1">
      <c r="A16" s="18"/>
      <c r="B16" s="10" t="s">
        <v>7</v>
      </c>
      <c r="C16" s="10"/>
      <c r="D16" s="6">
        <v>6</v>
      </c>
      <c r="E16" s="6">
        <v>17</v>
      </c>
      <c r="F16" s="6">
        <v>58</v>
      </c>
      <c r="G16" s="7">
        <f>SUM(D16:F16)</f>
        <v>81</v>
      </c>
      <c r="H16" s="6">
        <v>20</v>
      </c>
      <c r="I16" s="6">
        <v>7</v>
      </c>
      <c r="J16" s="6">
        <v>11</v>
      </c>
      <c r="K16" s="6">
        <v>2</v>
      </c>
      <c r="L16" s="6">
        <v>4</v>
      </c>
      <c r="M16" s="6">
        <v>0</v>
      </c>
      <c r="N16" s="7">
        <f>SUM(H16:M16)</f>
        <v>44</v>
      </c>
      <c r="O16" s="6">
        <v>72</v>
      </c>
      <c r="P16" s="7">
        <f>G16+N16+O16</f>
        <v>197</v>
      </c>
    </row>
    <row r="17" spans="1:16" ht="16.5" customHeight="1">
      <c r="A17" s="18"/>
      <c r="B17" s="11" t="s">
        <v>8</v>
      </c>
      <c r="C17" s="11"/>
      <c r="D17" s="7">
        <f t="shared" ref="D17:P17" si="2">SUM(D14:D16)</f>
        <v>262</v>
      </c>
      <c r="E17" s="7">
        <f t="shared" si="2"/>
        <v>822</v>
      </c>
      <c r="F17" s="7">
        <f t="shared" si="2"/>
        <v>4546</v>
      </c>
      <c r="G17" s="7">
        <f t="shared" si="2"/>
        <v>5630</v>
      </c>
      <c r="H17" s="7">
        <f t="shared" si="2"/>
        <v>1105</v>
      </c>
      <c r="I17" s="7">
        <f t="shared" si="2"/>
        <v>631</v>
      </c>
      <c r="J17" s="7">
        <f t="shared" si="2"/>
        <v>671</v>
      </c>
      <c r="K17" s="7">
        <f t="shared" si="2"/>
        <v>296</v>
      </c>
      <c r="L17" s="7">
        <f t="shared" si="2"/>
        <v>109</v>
      </c>
      <c r="M17" s="7">
        <f t="shared" si="2"/>
        <v>34</v>
      </c>
      <c r="N17" s="7">
        <f t="shared" si="2"/>
        <v>2846</v>
      </c>
      <c r="O17" s="7">
        <f t="shared" si="2"/>
        <v>844</v>
      </c>
      <c r="P17" s="7">
        <f t="shared" si="2"/>
        <v>9320</v>
      </c>
    </row>
    <row r="18" spans="1:16" ht="16.5" customHeight="1">
      <c r="A18" s="18" t="s">
        <v>24</v>
      </c>
      <c r="B18" s="10" t="s">
        <v>20</v>
      </c>
      <c r="C18" s="10"/>
      <c r="D18" s="6">
        <v>13</v>
      </c>
      <c r="E18" s="6">
        <v>185</v>
      </c>
      <c r="F18" s="6">
        <v>712</v>
      </c>
      <c r="G18" s="7">
        <f>SUM(D18:F18)</f>
        <v>910</v>
      </c>
      <c r="H18" s="6">
        <v>79</v>
      </c>
      <c r="I18" s="6">
        <v>18</v>
      </c>
      <c r="J18" s="6">
        <v>12</v>
      </c>
      <c r="K18" s="6">
        <v>7</v>
      </c>
      <c r="L18" s="6">
        <v>2</v>
      </c>
      <c r="M18" s="6">
        <v>1</v>
      </c>
      <c r="N18" s="7">
        <f>SUM(H18:M18)</f>
        <v>119</v>
      </c>
      <c r="O18" s="6">
        <v>111</v>
      </c>
      <c r="P18" s="7">
        <f>G18+N18+O18</f>
        <v>1140</v>
      </c>
    </row>
    <row r="19" spans="1:16" ht="16.5" customHeight="1">
      <c r="A19" s="18"/>
      <c r="B19" s="10" t="s">
        <v>21</v>
      </c>
      <c r="C19" s="10"/>
      <c r="D19" s="6">
        <v>274</v>
      </c>
      <c r="E19" s="6">
        <v>739</v>
      </c>
      <c r="F19" s="6">
        <v>4964</v>
      </c>
      <c r="G19" s="7">
        <f>SUM(D19:F19)</f>
        <v>5977</v>
      </c>
      <c r="H19" s="6">
        <v>1132</v>
      </c>
      <c r="I19" s="6">
        <v>567</v>
      </c>
      <c r="J19" s="6">
        <v>547</v>
      </c>
      <c r="K19" s="6">
        <v>278</v>
      </c>
      <c r="L19" s="6">
        <v>127</v>
      </c>
      <c r="M19" s="6">
        <v>22</v>
      </c>
      <c r="N19" s="7">
        <f>SUM(H19:M19)</f>
        <v>2673</v>
      </c>
      <c r="O19" s="6">
        <v>971</v>
      </c>
      <c r="P19" s="7">
        <f>G19+N19+O19</f>
        <v>9621</v>
      </c>
    </row>
    <row r="20" spans="1:16" ht="16.5" customHeight="1">
      <c r="A20" s="18"/>
      <c r="B20" s="10" t="s">
        <v>7</v>
      </c>
      <c r="C20" s="10"/>
      <c r="D20" s="6">
        <v>7</v>
      </c>
      <c r="E20" s="6">
        <v>20</v>
      </c>
      <c r="F20" s="6">
        <v>111</v>
      </c>
      <c r="G20" s="7">
        <f>SUM(D20:F20)</f>
        <v>138</v>
      </c>
      <c r="H20" s="6">
        <v>24</v>
      </c>
      <c r="I20" s="6">
        <v>8</v>
      </c>
      <c r="J20" s="6">
        <v>14</v>
      </c>
      <c r="K20" s="6">
        <v>8</v>
      </c>
      <c r="L20" s="6">
        <v>1</v>
      </c>
      <c r="M20" s="6">
        <v>0</v>
      </c>
      <c r="N20" s="7">
        <f>SUM(H20:M20)</f>
        <v>55</v>
      </c>
      <c r="O20" s="6">
        <v>167</v>
      </c>
      <c r="P20" s="7">
        <f>G20+N20+O20</f>
        <v>360</v>
      </c>
    </row>
    <row r="21" spans="1:16" ht="16.5" customHeight="1">
      <c r="A21" s="18"/>
      <c r="B21" s="11" t="s">
        <v>8</v>
      </c>
      <c r="C21" s="11"/>
      <c r="D21" s="7">
        <f t="shared" ref="D21:P21" si="3">SUM(D18:D20)</f>
        <v>294</v>
      </c>
      <c r="E21" s="7">
        <f t="shared" si="3"/>
        <v>944</v>
      </c>
      <c r="F21" s="7">
        <f t="shared" si="3"/>
        <v>5787</v>
      </c>
      <c r="G21" s="7">
        <f t="shared" si="3"/>
        <v>7025</v>
      </c>
      <c r="H21" s="7">
        <f t="shared" si="3"/>
        <v>1235</v>
      </c>
      <c r="I21" s="7">
        <f t="shared" si="3"/>
        <v>593</v>
      </c>
      <c r="J21" s="7">
        <f t="shared" si="3"/>
        <v>573</v>
      </c>
      <c r="K21" s="7">
        <f t="shared" si="3"/>
        <v>293</v>
      </c>
      <c r="L21" s="7">
        <f t="shared" si="3"/>
        <v>130</v>
      </c>
      <c r="M21" s="7">
        <f t="shared" si="3"/>
        <v>23</v>
      </c>
      <c r="N21" s="7">
        <f t="shared" si="3"/>
        <v>2847</v>
      </c>
      <c r="O21" s="7">
        <f t="shared" si="3"/>
        <v>1249</v>
      </c>
      <c r="P21" s="7">
        <f t="shared" si="3"/>
        <v>11121</v>
      </c>
    </row>
    <row r="22" spans="1:16" ht="16.5" customHeight="1">
      <c r="A22" s="18" t="s">
        <v>25</v>
      </c>
      <c r="B22" s="10" t="s">
        <v>20</v>
      </c>
      <c r="C22" s="10"/>
      <c r="D22" s="6">
        <v>27</v>
      </c>
      <c r="E22" s="6">
        <v>205</v>
      </c>
      <c r="F22" s="6">
        <v>831</v>
      </c>
      <c r="G22" s="7">
        <f>SUM(D22:F22)</f>
        <v>1063</v>
      </c>
      <c r="H22" s="6">
        <v>87</v>
      </c>
      <c r="I22" s="6">
        <v>30</v>
      </c>
      <c r="J22" s="6">
        <v>18</v>
      </c>
      <c r="K22" s="6">
        <v>12</v>
      </c>
      <c r="L22" s="6">
        <v>2</v>
      </c>
      <c r="M22" s="6">
        <v>1</v>
      </c>
      <c r="N22" s="7">
        <f>SUM(H22:M22)</f>
        <v>150</v>
      </c>
      <c r="O22" s="6">
        <v>122</v>
      </c>
      <c r="P22" s="7">
        <f>G22+N22+O22</f>
        <v>1335</v>
      </c>
    </row>
    <row r="23" spans="1:16" ht="16.5" customHeight="1">
      <c r="A23" s="18"/>
      <c r="B23" s="10" t="s">
        <v>21</v>
      </c>
      <c r="C23" s="10"/>
      <c r="D23" s="6">
        <v>270</v>
      </c>
      <c r="E23" s="6">
        <v>734</v>
      </c>
      <c r="F23" s="6">
        <v>5409</v>
      </c>
      <c r="G23" s="7">
        <f>SUM(D23:F23)</f>
        <v>6413</v>
      </c>
      <c r="H23" s="6">
        <v>1254</v>
      </c>
      <c r="I23" s="6">
        <v>585</v>
      </c>
      <c r="J23" s="6">
        <v>635</v>
      </c>
      <c r="K23" s="6">
        <v>315</v>
      </c>
      <c r="L23" s="6">
        <v>125</v>
      </c>
      <c r="M23" s="6">
        <v>34</v>
      </c>
      <c r="N23" s="7">
        <f>SUM(H23:M23)</f>
        <v>2948</v>
      </c>
      <c r="O23" s="6">
        <v>947</v>
      </c>
      <c r="P23" s="7">
        <f>G23+N23+O23</f>
        <v>10308</v>
      </c>
    </row>
    <row r="24" spans="1:16" ht="16.5" customHeight="1">
      <c r="A24" s="18"/>
      <c r="B24" s="10" t="s">
        <v>7</v>
      </c>
      <c r="C24" s="10"/>
      <c r="D24" s="6">
        <v>11</v>
      </c>
      <c r="E24" s="6">
        <v>9</v>
      </c>
      <c r="F24" s="6">
        <v>112</v>
      </c>
      <c r="G24" s="7">
        <f>SUM(D24:F24)</f>
        <v>132</v>
      </c>
      <c r="H24" s="6">
        <v>18</v>
      </c>
      <c r="I24" s="6">
        <v>11</v>
      </c>
      <c r="J24" s="6">
        <v>8</v>
      </c>
      <c r="K24" s="6">
        <v>4</v>
      </c>
      <c r="L24" s="6">
        <v>3</v>
      </c>
      <c r="M24" s="6">
        <v>0</v>
      </c>
      <c r="N24" s="7">
        <f>SUM(H24:M24)</f>
        <v>44</v>
      </c>
      <c r="O24" s="6">
        <v>247</v>
      </c>
      <c r="P24" s="7">
        <f>G24+N24+O24</f>
        <v>423</v>
      </c>
    </row>
    <row r="25" spans="1:16" ht="16.5" customHeight="1">
      <c r="A25" s="18"/>
      <c r="B25" s="11" t="s">
        <v>8</v>
      </c>
      <c r="C25" s="11"/>
      <c r="D25" s="7">
        <f t="shared" ref="D25:P25" si="4">SUM(D22:D24)</f>
        <v>308</v>
      </c>
      <c r="E25" s="7">
        <f t="shared" si="4"/>
        <v>948</v>
      </c>
      <c r="F25" s="7">
        <f t="shared" si="4"/>
        <v>6352</v>
      </c>
      <c r="G25" s="7">
        <f t="shared" si="4"/>
        <v>7608</v>
      </c>
      <c r="H25" s="7">
        <f t="shared" si="4"/>
        <v>1359</v>
      </c>
      <c r="I25" s="7">
        <f t="shared" si="4"/>
        <v>626</v>
      </c>
      <c r="J25" s="7">
        <f t="shared" si="4"/>
        <v>661</v>
      </c>
      <c r="K25" s="7">
        <f t="shared" si="4"/>
        <v>331</v>
      </c>
      <c r="L25" s="7">
        <f t="shared" si="4"/>
        <v>130</v>
      </c>
      <c r="M25" s="7">
        <f t="shared" si="4"/>
        <v>35</v>
      </c>
      <c r="N25" s="7">
        <f t="shared" si="4"/>
        <v>3142</v>
      </c>
      <c r="O25" s="7">
        <f t="shared" si="4"/>
        <v>1316</v>
      </c>
      <c r="P25" s="7">
        <f t="shared" si="4"/>
        <v>12066</v>
      </c>
    </row>
    <row r="26" spans="1:16" ht="16.5" customHeight="1">
      <c r="A26" s="18" t="s">
        <v>26</v>
      </c>
      <c r="B26" s="10" t="s">
        <v>20</v>
      </c>
      <c r="C26" s="10"/>
      <c r="D26" s="6">
        <v>34</v>
      </c>
      <c r="E26" s="6">
        <v>161</v>
      </c>
      <c r="F26" s="6">
        <v>860</v>
      </c>
      <c r="G26" s="7">
        <f>SUM(D26:F26)</f>
        <v>1055</v>
      </c>
      <c r="H26" s="6">
        <v>90</v>
      </c>
      <c r="I26" s="6">
        <v>34</v>
      </c>
      <c r="J26" s="6">
        <v>24</v>
      </c>
      <c r="K26" s="6">
        <v>12</v>
      </c>
      <c r="L26" s="6">
        <v>5</v>
      </c>
      <c r="M26" s="6">
        <v>2</v>
      </c>
      <c r="N26" s="7">
        <f>SUM(H26:M26)</f>
        <v>167</v>
      </c>
      <c r="O26" s="6">
        <v>107</v>
      </c>
      <c r="P26" s="7">
        <f>G26+N26+O26</f>
        <v>1329</v>
      </c>
    </row>
    <row r="27" spans="1:16" ht="16.5" customHeight="1">
      <c r="A27" s="18"/>
      <c r="B27" s="10" t="s">
        <v>21</v>
      </c>
      <c r="C27" s="10"/>
      <c r="D27" s="6">
        <v>216</v>
      </c>
      <c r="E27" s="6">
        <v>617</v>
      </c>
      <c r="F27" s="6">
        <v>4735</v>
      </c>
      <c r="G27" s="7">
        <f>SUM(D27:F27)</f>
        <v>5568</v>
      </c>
      <c r="H27" s="6">
        <v>1144</v>
      </c>
      <c r="I27" s="6">
        <v>496</v>
      </c>
      <c r="J27" s="6">
        <v>648</v>
      </c>
      <c r="K27" s="6">
        <v>318</v>
      </c>
      <c r="L27" s="6">
        <v>143</v>
      </c>
      <c r="M27" s="6">
        <v>18</v>
      </c>
      <c r="N27" s="7">
        <f>SUM(H27:M27)</f>
        <v>2767</v>
      </c>
      <c r="O27" s="6">
        <v>824</v>
      </c>
      <c r="P27" s="7">
        <f>G27+N27+O27</f>
        <v>9159</v>
      </c>
    </row>
    <row r="28" spans="1:16" ht="16.5" customHeight="1">
      <c r="A28" s="18"/>
      <c r="B28" s="10" t="s">
        <v>7</v>
      </c>
      <c r="C28" s="10"/>
      <c r="D28" s="6">
        <v>5</v>
      </c>
      <c r="E28" s="6">
        <v>18</v>
      </c>
      <c r="F28" s="6">
        <v>138</v>
      </c>
      <c r="G28" s="7">
        <f>SUM(D28:F28)</f>
        <v>161</v>
      </c>
      <c r="H28" s="6">
        <v>26</v>
      </c>
      <c r="I28" s="6">
        <v>5</v>
      </c>
      <c r="J28" s="6">
        <v>6</v>
      </c>
      <c r="K28" s="6">
        <v>5</v>
      </c>
      <c r="L28" s="6">
        <v>4</v>
      </c>
      <c r="M28" s="6">
        <v>0</v>
      </c>
      <c r="N28" s="7">
        <f>SUM(H28:M28)</f>
        <v>46</v>
      </c>
      <c r="O28" s="6">
        <v>206</v>
      </c>
      <c r="P28" s="7">
        <f>G28+N28+O28</f>
        <v>413</v>
      </c>
    </row>
    <row r="29" spans="1:16" ht="16.5" customHeight="1">
      <c r="A29" s="18"/>
      <c r="B29" s="11" t="s">
        <v>8</v>
      </c>
      <c r="C29" s="11"/>
      <c r="D29" s="7">
        <f t="shared" ref="D29:P29" si="5">SUM(D26:D28)</f>
        <v>255</v>
      </c>
      <c r="E29" s="7">
        <f t="shared" si="5"/>
        <v>796</v>
      </c>
      <c r="F29" s="7">
        <f t="shared" si="5"/>
        <v>5733</v>
      </c>
      <c r="G29" s="7">
        <f t="shared" si="5"/>
        <v>6784</v>
      </c>
      <c r="H29" s="7">
        <f t="shared" si="5"/>
        <v>1260</v>
      </c>
      <c r="I29" s="7">
        <f t="shared" si="5"/>
        <v>535</v>
      </c>
      <c r="J29" s="7">
        <f t="shared" si="5"/>
        <v>678</v>
      </c>
      <c r="K29" s="7">
        <f t="shared" si="5"/>
        <v>335</v>
      </c>
      <c r="L29" s="7">
        <f t="shared" si="5"/>
        <v>152</v>
      </c>
      <c r="M29" s="7">
        <f t="shared" si="5"/>
        <v>20</v>
      </c>
      <c r="N29" s="7">
        <f t="shared" si="5"/>
        <v>2980</v>
      </c>
      <c r="O29" s="7">
        <f t="shared" si="5"/>
        <v>1137</v>
      </c>
      <c r="P29" s="7">
        <f t="shared" si="5"/>
        <v>10901</v>
      </c>
    </row>
    <row r="30" spans="1:16" ht="16.5" customHeight="1">
      <c r="A30" s="18" t="s">
        <v>27</v>
      </c>
      <c r="B30" s="10" t="s">
        <v>20</v>
      </c>
      <c r="C30" s="10"/>
      <c r="D30" s="6">
        <v>30</v>
      </c>
      <c r="E30" s="6">
        <v>208</v>
      </c>
      <c r="F30" s="6">
        <v>946</v>
      </c>
      <c r="G30" s="7">
        <f>SUM(D30:F30)</f>
        <v>1184</v>
      </c>
      <c r="H30" s="6">
        <v>121</v>
      </c>
      <c r="I30" s="6">
        <v>40</v>
      </c>
      <c r="J30" s="6">
        <v>33</v>
      </c>
      <c r="K30" s="6">
        <v>7</v>
      </c>
      <c r="L30" s="6">
        <v>10</v>
      </c>
      <c r="M30" s="6">
        <v>1</v>
      </c>
      <c r="N30" s="7">
        <f>SUM(H30:M30)</f>
        <v>212</v>
      </c>
      <c r="O30" s="6">
        <v>142</v>
      </c>
      <c r="P30" s="7">
        <f>G30+N30+O30</f>
        <v>1538</v>
      </c>
    </row>
    <row r="31" spans="1:16" ht="16.5" customHeight="1">
      <c r="A31" s="18"/>
      <c r="B31" s="10" t="s">
        <v>21</v>
      </c>
      <c r="C31" s="10"/>
      <c r="D31" s="6">
        <v>224</v>
      </c>
      <c r="E31" s="6">
        <v>625</v>
      </c>
      <c r="F31" s="6">
        <v>4827</v>
      </c>
      <c r="G31" s="7">
        <f>SUM(D31:F31)</f>
        <v>5676</v>
      </c>
      <c r="H31" s="6">
        <v>1176</v>
      </c>
      <c r="I31" s="6">
        <v>492</v>
      </c>
      <c r="J31" s="6">
        <v>623</v>
      </c>
      <c r="K31" s="6">
        <v>273</v>
      </c>
      <c r="L31" s="6">
        <v>133</v>
      </c>
      <c r="M31" s="6">
        <v>25</v>
      </c>
      <c r="N31" s="7">
        <f>SUM(H31:M31)</f>
        <v>2722</v>
      </c>
      <c r="O31" s="6">
        <v>724</v>
      </c>
      <c r="P31" s="7">
        <f>G31+N31+O31</f>
        <v>9122</v>
      </c>
    </row>
    <row r="32" spans="1:16" ht="16.5" customHeight="1">
      <c r="A32" s="18"/>
      <c r="B32" s="10" t="s">
        <v>7</v>
      </c>
      <c r="C32" s="10"/>
      <c r="D32" s="6">
        <v>4</v>
      </c>
      <c r="E32" s="6">
        <v>20</v>
      </c>
      <c r="F32" s="6">
        <v>160</v>
      </c>
      <c r="G32" s="7">
        <f>SUM(D32:F32)</f>
        <v>184</v>
      </c>
      <c r="H32" s="6">
        <v>29</v>
      </c>
      <c r="I32" s="6">
        <v>6</v>
      </c>
      <c r="J32" s="6">
        <v>14</v>
      </c>
      <c r="K32" s="6">
        <v>3</v>
      </c>
      <c r="L32" s="6">
        <v>4</v>
      </c>
      <c r="M32" s="6">
        <v>2</v>
      </c>
      <c r="N32" s="7">
        <f>SUM(H32:M32)</f>
        <v>58</v>
      </c>
      <c r="O32" s="6">
        <v>184</v>
      </c>
      <c r="P32" s="7">
        <f>G32+N32+O32</f>
        <v>426</v>
      </c>
    </row>
    <row r="33" spans="1:16" ht="16.5" customHeight="1">
      <c r="A33" s="18"/>
      <c r="B33" s="11" t="s">
        <v>8</v>
      </c>
      <c r="C33" s="11"/>
      <c r="D33" s="7">
        <f t="shared" ref="D33:P33" si="6">SUM(D30:D32)</f>
        <v>258</v>
      </c>
      <c r="E33" s="7">
        <f t="shared" si="6"/>
        <v>853</v>
      </c>
      <c r="F33" s="7">
        <f t="shared" si="6"/>
        <v>5933</v>
      </c>
      <c r="G33" s="7">
        <f t="shared" si="6"/>
        <v>7044</v>
      </c>
      <c r="H33" s="7">
        <f t="shared" si="6"/>
        <v>1326</v>
      </c>
      <c r="I33" s="7">
        <f t="shared" si="6"/>
        <v>538</v>
      </c>
      <c r="J33" s="7">
        <f t="shared" si="6"/>
        <v>670</v>
      </c>
      <c r="K33" s="7">
        <f t="shared" si="6"/>
        <v>283</v>
      </c>
      <c r="L33" s="7">
        <f t="shared" si="6"/>
        <v>147</v>
      </c>
      <c r="M33" s="7">
        <f t="shared" si="6"/>
        <v>28</v>
      </c>
      <c r="N33" s="7">
        <f t="shared" si="6"/>
        <v>2992</v>
      </c>
      <c r="O33" s="7">
        <f t="shared" si="6"/>
        <v>1050</v>
      </c>
      <c r="P33" s="7">
        <f t="shared" si="6"/>
        <v>11086</v>
      </c>
    </row>
    <row r="34" spans="1:16" ht="16.5" customHeight="1">
      <c r="A34" s="18" t="s">
        <v>28</v>
      </c>
      <c r="B34" s="10" t="s">
        <v>20</v>
      </c>
      <c r="C34" s="10"/>
      <c r="D34" s="6">
        <v>31</v>
      </c>
      <c r="E34" s="6">
        <v>234</v>
      </c>
      <c r="F34" s="6">
        <v>1022</v>
      </c>
      <c r="G34" s="7">
        <f>SUM(D34:F34)</f>
        <v>1287</v>
      </c>
      <c r="H34" s="6">
        <v>102</v>
      </c>
      <c r="I34" s="6">
        <v>31</v>
      </c>
      <c r="J34" s="6">
        <v>32</v>
      </c>
      <c r="K34" s="6">
        <v>12</v>
      </c>
      <c r="L34" s="6">
        <v>6</v>
      </c>
      <c r="M34" s="6">
        <v>5</v>
      </c>
      <c r="N34" s="7">
        <f>SUM(H34:M34)</f>
        <v>188</v>
      </c>
      <c r="O34" s="6">
        <v>84</v>
      </c>
      <c r="P34" s="7">
        <f>G34+N34+O34</f>
        <v>1559</v>
      </c>
    </row>
    <row r="35" spans="1:16" ht="16.5" customHeight="1">
      <c r="A35" s="18"/>
      <c r="B35" s="10" t="s">
        <v>21</v>
      </c>
      <c r="C35" s="10"/>
      <c r="D35" s="6">
        <v>200</v>
      </c>
      <c r="E35" s="6">
        <v>646</v>
      </c>
      <c r="F35" s="6">
        <v>4500</v>
      </c>
      <c r="G35" s="7">
        <f>SUM(D35:F35)</f>
        <v>5346</v>
      </c>
      <c r="H35" s="6">
        <v>1142</v>
      </c>
      <c r="I35" s="6">
        <v>457</v>
      </c>
      <c r="J35" s="6">
        <v>588</v>
      </c>
      <c r="K35" s="6">
        <v>301</v>
      </c>
      <c r="L35" s="6">
        <v>137</v>
      </c>
      <c r="M35" s="6">
        <v>34</v>
      </c>
      <c r="N35" s="7">
        <f>SUM(H35:M35)</f>
        <v>2659</v>
      </c>
      <c r="O35" s="6">
        <v>509</v>
      </c>
      <c r="P35" s="7">
        <f>G35+N35+O35</f>
        <v>8514</v>
      </c>
    </row>
    <row r="36" spans="1:16" ht="16.5" customHeight="1">
      <c r="A36" s="18"/>
      <c r="B36" s="10" t="s">
        <v>7</v>
      </c>
      <c r="C36" s="10"/>
      <c r="D36" s="6">
        <v>4</v>
      </c>
      <c r="E36" s="6">
        <v>23</v>
      </c>
      <c r="F36" s="6">
        <v>131</v>
      </c>
      <c r="G36" s="7">
        <f>SUM(D36:F36)</f>
        <v>158</v>
      </c>
      <c r="H36" s="6">
        <v>21</v>
      </c>
      <c r="I36" s="6">
        <v>9</v>
      </c>
      <c r="J36" s="6">
        <v>6</v>
      </c>
      <c r="K36" s="6">
        <v>6</v>
      </c>
      <c r="L36" s="6">
        <v>1</v>
      </c>
      <c r="M36" s="6">
        <v>0</v>
      </c>
      <c r="N36" s="7">
        <f>SUM(H36:M36)</f>
        <v>43</v>
      </c>
      <c r="O36" s="6">
        <v>180</v>
      </c>
      <c r="P36" s="7">
        <f>G36+N36+O36</f>
        <v>381</v>
      </c>
    </row>
    <row r="37" spans="1:16" ht="16.5" customHeight="1">
      <c r="A37" s="18"/>
      <c r="B37" s="11" t="s">
        <v>8</v>
      </c>
      <c r="C37" s="11"/>
      <c r="D37" s="7">
        <f t="shared" ref="D37:P37" si="7">SUM(D34:D36)</f>
        <v>235</v>
      </c>
      <c r="E37" s="7">
        <f t="shared" si="7"/>
        <v>903</v>
      </c>
      <c r="F37" s="7">
        <f t="shared" si="7"/>
        <v>5653</v>
      </c>
      <c r="G37" s="7">
        <f t="shared" si="7"/>
        <v>6791</v>
      </c>
      <c r="H37" s="7">
        <f t="shared" si="7"/>
        <v>1265</v>
      </c>
      <c r="I37" s="7">
        <f t="shared" si="7"/>
        <v>497</v>
      </c>
      <c r="J37" s="7">
        <f t="shared" si="7"/>
        <v>626</v>
      </c>
      <c r="K37" s="7">
        <f t="shared" si="7"/>
        <v>319</v>
      </c>
      <c r="L37" s="7">
        <f t="shared" si="7"/>
        <v>144</v>
      </c>
      <c r="M37" s="7">
        <f t="shared" si="7"/>
        <v>39</v>
      </c>
      <c r="N37" s="7">
        <f t="shared" si="7"/>
        <v>2890</v>
      </c>
      <c r="O37" s="7">
        <f t="shared" si="7"/>
        <v>773</v>
      </c>
      <c r="P37" s="7">
        <f t="shared" si="7"/>
        <v>10454</v>
      </c>
    </row>
    <row r="38" spans="1:16" ht="16.5" customHeight="1">
      <c r="A38" s="18" t="s">
        <v>29</v>
      </c>
      <c r="B38" s="10" t="s">
        <v>20</v>
      </c>
      <c r="C38" s="10"/>
      <c r="D38" s="6">
        <v>32</v>
      </c>
      <c r="E38" s="6">
        <v>159</v>
      </c>
      <c r="F38" s="6">
        <v>804</v>
      </c>
      <c r="G38" s="7">
        <f>SUM(D38:F38)</f>
        <v>995</v>
      </c>
      <c r="H38" s="6">
        <v>50</v>
      </c>
      <c r="I38" s="6">
        <v>27</v>
      </c>
      <c r="J38" s="6">
        <v>20</v>
      </c>
      <c r="K38" s="6">
        <v>11</v>
      </c>
      <c r="L38" s="6">
        <v>8</v>
      </c>
      <c r="M38" s="6">
        <v>4</v>
      </c>
      <c r="N38" s="7">
        <f>SUM(H38:M38)</f>
        <v>120</v>
      </c>
      <c r="O38" s="6">
        <v>44</v>
      </c>
      <c r="P38" s="7">
        <f>G38+N38+O38</f>
        <v>1159</v>
      </c>
    </row>
    <row r="39" spans="1:16" ht="16.5" customHeight="1">
      <c r="A39" s="18"/>
      <c r="B39" s="10" t="s">
        <v>21</v>
      </c>
      <c r="C39" s="10"/>
      <c r="D39" s="6">
        <v>151</v>
      </c>
      <c r="E39" s="6">
        <v>426</v>
      </c>
      <c r="F39" s="6">
        <v>3517</v>
      </c>
      <c r="G39" s="7">
        <f>SUM(D39:F39)</f>
        <v>4094</v>
      </c>
      <c r="H39" s="6">
        <v>943</v>
      </c>
      <c r="I39" s="6">
        <v>471</v>
      </c>
      <c r="J39" s="6">
        <v>579</v>
      </c>
      <c r="K39" s="6">
        <v>260</v>
      </c>
      <c r="L39" s="6">
        <v>122</v>
      </c>
      <c r="M39" s="6">
        <v>36</v>
      </c>
      <c r="N39" s="7">
        <f>SUM(H39:M39)</f>
        <v>2411</v>
      </c>
      <c r="O39" s="6">
        <v>229</v>
      </c>
      <c r="P39" s="7">
        <f>G39+N39+O39</f>
        <v>6734</v>
      </c>
    </row>
    <row r="40" spans="1:16" ht="16.5" customHeight="1">
      <c r="A40" s="18"/>
      <c r="B40" s="10" t="s">
        <v>7</v>
      </c>
      <c r="C40" s="10"/>
      <c r="D40" s="6">
        <v>2</v>
      </c>
      <c r="E40" s="6">
        <v>7</v>
      </c>
      <c r="F40" s="6">
        <v>116</v>
      </c>
      <c r="G40" s="7">
        <f>SUM(D40:F40)</f>
        <v>125</v>
      </c>
      <c r="H40" s="6">
        <v>24</v>
      </c>
      <c r="I40" s="6">
        <v>6</v>
      </c>
      <c r="J40" s="6">
        <v>11</v>
      </c>
      <c r="K40" s="6">
        <v>5</v>
      </c>
      <c r="L40" s="6">
        <v>3</v>
      </c>
      <c r="M40" s="6">
        <v>1</v>
      </c>
      <c r="N40" s="7">
        <f>SUM(H40:M40)</f>
        <v>50</v>
      </c>
      <c r="O40" s="6">
        <v>73</v>
      </c>
      <c r="P40" s="7">
        <f>G40+N40+O40</f>
        <v>248</v>
      </c>
    </row>
    <row r="41" spans="1:16" ht="16.5" customHeight="1">
      <c r="A41" s="18"/>
      <c r="B41" s="11" t="s">
        <v>8</v>
      </c>
      <c r="C41" s="11"/>
      <c r="D41" s="7">
        <f t="shared" ref="D41:P41" si="8">SUM(D38:D40)</f>
        <v>185</v>
      </c>
      <c r="E41" s="7">
        <f t="shared" si="8"/>
        <v>592</v>
      </c>
      <c r="F41" s="7">
        <f t="shared" si="8"/>
        <v>4437</v>
      </c>
      <c r="G41" s="7">
        <f t="shared" si="8"/>
        <v>5214</v>
      </c>
      <c r="H41" s="7">
        <f t="shared" si="8"/>
        <v>1017</v>
      </c>
      <c r="I41" s="7">
        <f t="shared" si="8"/>
        <v>504</v>
      </c>
      <c r="J41" s="7">
        <f t="shared" si="8"/>
        <v>610</v>
      </c>
      <c r="K41" s="7">
        <f t="shared" si="8"/>
        <v>276</v>
      </c>
      <c r="L41" s="7">
        <f t="shared" si="8"/>
        <v>133</v>
      </c>
      <c r="M41" s="7">
        <f t="shared" si="8"/>
        <v>41</v>
      </c>
      <c r="N41" s="7">
        <f t="shared" si="8"/>
        <v>2581</v>
      </c>
      <c r="O41" s="7">
        <f t="shared" si="8"/>
        <v>346</v>
      </c>
      <c r="P41" s="7">
        <f t="shared" si="8"/>
        <v>8141</v>
      </c>
    </row>
    <row r="42" spans="1:16" ht="16.5" customHeight="1">
      <c r="A42" s="18" t="s">
        <v>30</v>
      </c>
      <c r="B42" s="10" t="s">
        <v>20</v>
      </c>
      <c r="C42" s="10"/>
      <c r="D42" s="6">
        <v>37</v>
      </c>
      <c r="E42" s="6">
        <v>192</v>
      </c>
      <c r="F42" s="6">
        <v>920</v>
      </c>
      <c r="G42" s="7">
        <f>SUM(D42:F42)</f>
        <v>1149</v>
      </c>
      <c r="H42" s="6">
        <v>110</v>
      </c>
      <c r="I42" s="6">
        <v>41</v>
      </c>
      <c r="J42" s="6">
        <v>31</v>
      </c>
      <c r="K42" s="6">
        <v>13</v>
      </c>
      <c r="L42" s="6">
        <v>1</v>
      </c>
      <c r="M42" s="6">
        <v>0</v>
      </c>
      <c r="N42" s="7">
        <f>SUM(H42:M42)</f>
        <v>196</v>
      </c>
      <c r="O42" s="6">
        <v>8</v>
      </c>
      <c r="P42" s="7">
        <f>G42+N42+O42</f>
        <v>1353</v>
      </c>
    </row>
    <row r="43" spans="1:16" ht="16.5" customHeight="1">
      <c r="A43" s="18"/>
      <c r="B43" s="10" t="s">
        <v>21</v>
      </c>
      <c r="C43" s="10"/>
      <c r="D43" s="6">
        <v>188</v>
      </c>
      <c r="E43" s="6">
        <v>447</v>
      </c>
      <c r="F43" s="6">
        <v>3312</v>
      </c>
      <c r="G43" s="7">
        <f>SUM(D43:F43)</f>
        <v>3947</v>
      </c>
      <c r="H43" s="6">
        <v>986</v>
      </c>
      <c r="I43" s="6">
        <v>504</v>
      </c>
      <c r="J43" s="6">
        <v>594</v>
      </c>
      <c r="K43" s="6">
        <v>309</v>
      </c>
      <c r="L43" s="6">
        <v>137</v>
      </c>
      <c r="M43" s="6">
        <v>27</v>
      </c>
      <c r="N43" s="7">
        <f>SUM(H43:M43)</f>
        <v>2557</v>
      </c>
      <c r="O43" s="6">
        <v>141</v>
      </c>
      <c r="P43" s="7">
        <f>G43+N43+O43</f>
        <v>6645</v>
      </c>
    </row>
    <row r="44" spans="1:16" ht="16.5" customHeight="1">
      <c r="A44" s="18"/>
      <c r="B44" s="10" t="s">
        <v>7</v>
      </c>
      <c r="C44" s="10"/>
      <c r="D44" s="6">
        <v>2</v>
      </c>
      <c r="E44" s="6">
        <v>20</v>
      </c>
      <c r="F44" s="6">
        <v>122</v>
      </c>
      <c r="G44" s="7">
        <f>SUM(D44:F44)</f>
        <v>144</v>
      </c>
      <c r="H44" s="6">
        <v>25</v>
      </c>
      <c r="I44" s="6">
        <v>9</v>
      </c>
      <c r="J44" s="6">
        <v>8</v>
      </c>
      <c r="K44" s="6">
        <v>2</v>
      </c>
      <c r="L44" s="6">
        <v>2</v>
      </c>
      <c r="M44" s="6">
        <v>3</v>
      </c>
      <c r="N44" s="7">
        <f>SUM(H44:M44)</f>
        <v>49</v>
      </c>
      <c r="O44" s="6">
        <v>23</v>
      </c>
      <c r="P44" s="7">
        <f>G44+N44+O44</f>
        <v>216</v>
      </c>
    </row>
    <row r="45" spans="1:16" ht="16.5" customHeight="1">
      <c r="A45" s="18"/>
      <c r="B45" s="11" t="s">
        <v>8</v>
      </c>
      <c r="C45" s="11"/>
      <c r="D45" s="7">
        <f t="shared" ref="D45:P45" si="9">SUM(D42:D44)</f>
        <v>227</v>
      </c>
      <c r="E45" s="7">
        <f t="shared" si="9"/>
        <v>659</v>
      </c>
      <c r="F45" s="7">
        <f t="shared" si="9"/>
        <v>4354</v>
      </c>
      <c r="G45" s="7">
        <f t="shared" si="9"/>
        <v>5240</v>
      </c>
      <c r="H45" s="7">
        <f t="shared" si="9"/>
        <v>1121</v>
      </c>
      <c r="I45" s="7">
        <f t="shared" si="9"/>
        <v>554</v>
      </c>
      <c r="J45" s="7">
        <f t="shared" si="9"/>
        <v>633</v>
      </c>
      <c r="K45" s="7">
        <f t="shared" si="9"/>
        <v>324</v>
      </c>
      <c r="L45" s="7">
        <f t="shared" si="9"/>
        <v>140</v>
      </c>
      <c r="M45" s="7">
        <f t="shared" si="9"/>
        <v>30</v>
      </c>
      <c r="N45" s="7">
        <f t="shared" si="9"/>
        <v>2802</v>
      </c>
      <c r="O45" s="7">
        <f t="shared" si="9"/>
        <v>172</v>
      </c>
      <c r="P45" s="7">
        <f t="shared" si="9"/>
        <v>8214</v>
      </c>
    </row>
    <row r="46" spans="1:16" ht="16.5" customHeight="1">
      <c r="A46" s="18" t="s">
        <v>31</v>
      </c>
      <c r="B46" s="10" t="s">
        <v>20</v>
      </c>
      <c r="C46" s="10"/>
      <c r="D46" s="6">
        <v>37</v>
      </c>
      <c r="E46" s="6">
        <v>236</v>
      </c>
      <c r="F46" s="6">
        <v>905</v>
      </c>
      <c r="G46" s="7">
        <f>SUM(D46:F46)</f>
        <v>1178</v>
      </c>
      <c r="H46" s="6">
        <v>90</v>
      </c>
      <c r="I46" s="6">
        <v>37</v>
      </c>
      <c r="J46" s="6">
        <v>25</v>
      </c>
      <c r="K46" s="6">
        <v>18</v>
      </c>
      <c r="L46" s="6">
        <v>12</v>
      </c>
      <c r="M46" s="6">
        <v>4</v>
      </c>
      <c r="N46" s="7">
        <f>SUM(H46:M46)</f>
        <v>186</v>
      </c>
      <c r="O46" s="6">
        <v>10</v>
      </c>
      <c r="P46" s="7">
        <f>G46+N46+O46</f>
        <v>1374</v>
      </c>
    </row>
    <row r="47" spans="1:16" ht="16.5" customHeight="1">
      <c r="A47" s="18"/>
      <c r="B47" s="10" t="s">
        <v>21</v>
      </c>
      <c r="C47" s="10"/>
      <c r="D47" s="6">
        <v>207</v>
      </c>
      <c r="E47" s="6">
        <v>518</v>
      </c>
      <c r="F47" s="6">
        <v>3280</v>
      </c>
      <c r="G47" s="7">
        <f>SUM(D47:F47)</f>
        <v>4005</v>
      </c>
      <c r="H47" s="6">
        <v>1109</v>
      </c>
      <c r="I47" s="6">
        <v>529</v>
      </c>
      <c r="J47" s="6">
        <v>631</v>
      </c>
      <c r="K47" s="6">
        <v>309</v>
      </c>
      <c r="L47" s="6">
        <v>149</v>
      </c>
      <c r="M47" s="6">
        <v>28</v>
      </c>
      <c r="N47" s="7">
        <f>SUM(H47:M47)</f>
        <v>2755</v>
      </c>
      <c r="O47" s="6">
        <v>158</v>
      </c>
      <c r="P47" s="7">
        <f>G47+N47+O47</f>
        <v>6918</v>
      </c>
    </row>
    <row r="48" spans="1:16" ht="16.5" customHeight="1">
      <c r="A48" s="18"/>
      <c r="B48" s="10" t="s">
        <v>7</v>
      </c>
      <c r="C48" s="10"/>
      <c r="D48" s="6">
        <v>4</v>
      </c>
      <c r="E48" s="6">
        <v>13</v>
      </c>
      <c r="F48" s="6">
        <v>96</v>
      </c>
      <c r="G48" s="7">
        <f>SUM(D48:F48)</f>
        <v>113</v>
      </c>
      <c r="H48" s="6">
        <v>25</v>
      </c>
      <c r="I48" s="6">
        <v>14</v>
      </c>
      <c r="J48" s="6">
        <v>13</v>
      </c>
      <c r="K48" s="6">
        <v>6</v>
      </c>
      <c r="L48" s="6">
        <v>1</v>
      </c>
      <c r="M48" s="6">
        <v>1</v>
      </c>
      <c r="N48" s="7">
        <f>SUM(H48:M48)</f>
        <v>60</v>
      </c>
      <c r="O48" s="6">
        <v>34</v>
      </c>
      <c r="P48" s="7">
        <f>G48+N48+O48</f>
        <v>207</v>
      </c>
    </row>
    <row r="49" spans="1:16" ht="16.5" customHeight="1">
      <c r="A49" s="18"/>
      <c r="B49" s="11" t="s">
        <v>8</v>
      </c>
      <c r="C49" s="11"/>
      <c r="D49" s="7">
        <f t="shared" ref="D49:P49" si="10">SUM(D46:D48)</f>
        <v>248</v>
      </c>
      <c r="E49" s="7">
        <f t="shared" si="10"/>
        <v>767</v>
      </c>
      <c r="F49" s="7">
        <f t="shared" si="10"/>
        <v>4281</v>
      </c>
      <c r="G49" s="7">
        <f t="shared" si="10"/>
        <v>5296</v>
      </c>
      <c r="H49" s="7">
        <f t="shared" si="10"/>
        <v>1224</v>
      </c>
      <c r="I49" s="7">
        <f t="shared" si="10"/>
        <v>580</v>
      </c>
      <c r="J49" s="7">
        <f t="shared" si="10"/>
        <v>669</v>
      </c>
      <c r="K49" s="7">
        <f t="shared" si="10"/>
        <v>333</v>
      </c>
      <c r="L49" s="7">
        <f t="shared" si="10"/>
        <v>162</v>
      </c>
      <c r="M49" s="7">
        <f t="shared" si="10"/>
        <v>33</v>
      </c>
      <c r="N49" s="7">
        <f t="shared" si="10"/>
        <v>3001</v>
      </c>
      <c r="O49" s="7">
        <f t="shared" si="10"/>
        <v>202</v>
      </c>
      <c r="P49" s="7">
        <f t="shared" si="10"/>
        <v>8499</v>
      </c>
    </row>
    <row r="50" spans="1:16" ht="16.5" customHeight="1">
      <c r="A50" s="18" t="s">
        <v>32</v>
      </c>
      <c r="B50" s="10" t="s">
        <v>20</v>
      </c>
      <c r="C50" s="10"/>
      <c r="D50" s="6">
        <v>37</v>
      </c>
      <c r="E50" s="6">
        <v>206</v>
      </c>
      <c r="F50" s="6">
        <v>963</v>
      </c>
      <c r="G50" s="7">
        <f>SUM(D50:F50)</f>
        <v>1206</v>
      </c>
      <c r="H50" s="6">
        <v>98</v>
      </c>
      <c r="I50" s="6">
        <v>35</v>
      </c>
      <c r="J50" s="6">
        <v>33</v>
      </c>
      <c r="K50" s="6">
        <v>15</v>
      </c>
      <c r="L50" s="6">
        <v>6</v>
      </c>
      <c r="M50" s="6">
        <v>4</v>
      </c>
      <c r="N50" s="7">
        <f>SUM(H50:M50)</f>
        <v>191</v>
      </c>
      <c r="O50" s="6">
        <v>2</v>
      </c>
      <c r="P50" s="7">
        <f>G50+N50+O50</f>
        <v>1399</v>
      </c>
    </row>
    <row r="51" spans="1:16" ht="16.5" customHeight="1">
      <c r="A51" s="18"/>
      <c r="B51" s="10" t="s">
        <v>21</v>
      </c>
      <c r="C51" s="10"/>
      <c r="D51" s="6">
        <v>256</v>
      </c>
      <c r="E51" s="6">
        <v>495</v>
      </c>
      <c r="F51" s="6">
        <v>3274</v>
      </c>
      <c r="G51" s="7">
        <f>SUM(D51:F51)</f>
        <v>4025</v>
      </c>
      <c r="H51" s="6">
        <v>952</v>
      </c>
      <c r="I51" s="6">
        <v>578</v>
      </c>
      <c r="J51" s="6">
        <v>655</v>
      </c>
      <c r="K51" s="6">
        <v>316</v>
      </c>
      <c r="L51" s="6">
        <v>138</v>
      </c>
      <c r="M51" s="6">
        <v>49</v>
      </c>
      <c r="N51" s="7">
        <f>SUM(H51:M51)</f>
        <v>2688</v>
      </c>
      <c r="O51" s="6">
        <v>6</v>
      </c>
      <c r="P51" s="7">
        <f>G51+N51+O51</f>
        <v>6719</v>
      </c>
    </row>
    <row r="52" spans="1:16" ht="16.5" customHeight="1">
      <c r="A52" s="18"/>
      <c r="B52" s="10" t="s">
        <v>33</v>
      </c>
      <c r="C52" s="10"/>
      <c r="D52" s="6">
        <v>0</v>
      </c>
      <c r="E52" s="6">
        <v>0</v>
      </c>
      <c r="F52" s="6">
        <v>0</v>
      </c>
      <c r="G52" s="7">
        <f>SUM(D52:F52)</f>
        <v>0</v>
      </c>
      <c r="H52" s="6">
        <v>2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  <c r="N52" s="7">
        <f>SUM(H52:M52)</f>
        <v>3</v>
      </c>
      <c r="O52" s="6">
        <v>0</v>
      </c>
      <c r="P52" s="7">
        <f>G52+N52+O52</f>
        <v>3</v>
      </c>
    </row>
    <row r="53" spans="1:16" ht="16.5" customHeight="1">
      <c r="A53" s="18"/>
      <c r="B53" s="10" t="s">
        <v>7</v>
      </c>
      <c r="C53" s="10"/>
      <c r="D53" s="6">
        <v>3</v>
      </c>
      <c r="E53" s="6">
        <v>4</v>
      </c>
      <c r="F53" s="6">
        <v>31</v>
      </c>
      <c r="G53" s="7">
        <f>SUM(D53:F53)</f>
        <v>38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7">
        <f>SUM(H53:M53)</f>
        <v>1</v>
      </c>
      <c r="O53" s="6">
        <v>0</v>
      </c>
      <c r="P53" s="7">
        <f>G53+N53+O53</f>
        <v>39</v>
      </c>
    </row>
    <row r="54" spans="1:16" ht="16.5" customHeight="1">
      <c r="A54" s="18"/>
      <c r="B54" s="11" t="s">
        <v>8</v>
      </c>
      <c r="C54" s="11"/>
      <c r="D54" s="7">
        <f t="shared" ref="D54:P54" si="11">SUM(D50:D53)</f>
        <v>296</v>
      </c>
      <c r="E54" s="7">
        <f t="shared" si="11"/>
        <v>705</v>
      </c>
      <c r="F54" s="7">
        <f t="shared" si="11"/>
        <v>4268</v>
      </c>
      <c r="G54" s="7">
        <f t="shared" si="11"/>
        <v>5269</v>
      </c>
      <c r="H54" s="7">
        <f t="shared" si="11"/>
        <v>1053</v>
      </c>
      <c r="I54" s="7">
        <f t="shared" si="11"/>
        <v>614</v>
      </c>
      <c r="J54" s="7">
        <f t="shared" si="11"/>
        <v>688</v>
      </c>
      <c r="K54" s="7">
        <f t="shared" si="11"/>
        <v>331</v>
      </c>
      <c r="L54" s="7">
        <f t="shared" si="11"/>
        <v>144</v>
      </c>
      <c r="M54" s="7">
        <f t="shared" si="11"/>
        <v>53</v>
      </c>
      <c r="N54" s="7">
        <f t="shared" si="11"/>
        <v>2883</v>
      </c>
      <c r="O54" s="7">
        <f t="shared" si="11"/>
        <v>8</v>
      </c>
      <c r="P54" s="7">
        <f t="shared" si="11"/>
        <v>8160</v>
      </c>
    </row>
    <row r="55" spans="1:16" ht="16.5" customHeight="1">
      <c r="A55" s="21" t="s">
        <v>34</v>
      </c>
      <c r="B55" s="10" t="s">
        <v>20</v>
      </c>
      <c r="C55" s="10"/>
      <c r="D55" s="6">
        <v>54</v>
      </c>
      <c r="E55" s="6">
        <v>234</v>
      </c>
      <c r="F55" s="6">
        <v>1244</v>
      </c>
      <c r="G55" s="7">
        <f>SUM(D55:F55)</f>
        <v>1532</v>
      </c>
      <c r="H55" s="6">
        <v>111</v>
      </c>
      <c r="I55" s="6">
        <v>49</v>
      </c>
      <c r="J55" s="6">
        <v>37</v>
      </c>
      <c r="K55" s="6">
        <v>26</v>
      </c>
      <c r="L55" s="6">
        <v>12</v>
      </c>
      <c r="M55" s="6">
        <v>4</v>
      </c>
      <c r="N55" s="7">
        <f>SUM(H55:M55)</f>
        <v>239</v>
      </c>
      <c r="O55" s="6">
        <v>2</v>
      </c>
      <c r="P55" s="7">
        <f>G55+N55+O55</f>
        <v>1773</v>
      </c>
    </row>
    <row r="56" spans="1:16" ht="16.5" customHeight="1">
      <c r="A56" s="21"/>
      <c r="B56" s="10" t="s">
        <v>21</v>
      </c>
      <c r="C56" s="10"/>
      <c r="D56" s="6">
        <v>275</v>
      </c>
      <c r="E56" s="6">
        <v>521</v>
      </c>
      <c r="F56" s="6">
        <v>3626</v>
      </c>
      <c r="G56" s="7">
        <f>SUM(D56:F56)</f>
        <v>4422</v>
      </c>
      <c r="H56" s="6">
        <v>1085</v>
      </c>
      <c r="I56" s="6">
        <v>593</v>
      </c>
      <c r="J56" s="6">
        <v>706</v>
      </c>
      <c r="K56" s="6">
        <v>387</v>
      </c>
      <c r="L56" s="6">
        <v>151</v>
      </c>
      <c r="M56" s="6">
        <v>47</v>
      </c>
      <c r="N56" s="7">
        <f>SUM(H56:M56)</f>
        <v>2969</v>
      </c>
      <c r="O56" s="6">
        <v>15</v>
      </c>
      <c r="P56" s="7">
        <f>G56+N56+O56</f>
        <v>7406</v>
      </c>
    </row>
    <row r="57" spans="1:16" ht="16.5" customHeight="1">
      <c r="A57" s="21"/>
      <c r="B57" s="10" t="s">
        <v>33</v>
      </c>
      <c r="C57" s="10"/>
      <c r="D57" s="6">
        <v>0</v>
      </c>
      <c r="E57" s="6">
        <v>0</v>
      </c>
      <c r="F57" s="6">
        <v>0</v>
      </c>
      <c r="G57" s="7">
        <f>SUM(D57:F57)</f>
        <v>0</v>
      </c>
      <c r="H57" s="6">
        <v>0</v>
      </c>
      <c r="I57" s="6">
        <v>1</v>
      </c>
      <c r="J57" s="6">
        <v>1</v>
      </c>
      <c r="K57" s="6">
        <v>0</v>
      </c>
      <c r="L57" s="6">
        <v>0</v>
      </c>
      <c r="M57" s="6">
        <v>0</v>
      </c>
      <c r="N57" s="7">
        <f>SUM(H57:M57)</f>
        <v>2</v>
      </c>
      <c r="O57" s="6">
        <v>0</v>
      </c>
      <c r="P57" s="7">
        <f>G57+N57+O57</f>
        <v>2</v>
      </c>
    </row>
    <row r="58" spans="1:16" ht="16.5" customHeight="1">
      <c r="A58" s="21"/>
      <c r="B58" s="10" t="s">
        <v>7</v>
      </c>
      <c r="C58" s="10"/>
      <c r="D58" s="6">
        <v>0</v>
      </c>
      <c r="E58" s="6">
        <v>4</v>
      </c>
      <c r="F58" s="6">
        <v>20</v>
      </c>
      <c r="G58" s="7">
        <f>SUM(D58:F58)</f>
        <v>24</v>
      </c>
      <c r="H58" s="6">
        <v>1</v>
      </c>
      <c r="I58" s="6">
        <v>2</v>
      </c>
      <c r="J58" s="6">
        <v>2</v>
      </c>
      <c r="K58" s="6">
        <v>2</v>
      </c>
      <c r="L58" s="6">
        <v>0</v>
      </c>
      <c r="M58" s="6">
        <v>0</v>
      </c>
      <c r="N58" s="7">
        <f>SUM(H58:M58)</f>
        <v>7</v>
      </c>
      <c r="O58" s="6">
        <v>0</v>
      </c>
      <c r="P58" s="7">
        <f>G58+N58+O58</f>
        <v>31</v>
      </c>
    </row>
    <row r="59" spans="1:16" ht="16.5" customHeight="1">
      <c r="A59" s="21"/>
      <c r="B59" s="11" t="s">
        <v>8</v>
      </c>
      <c r="C59" s="11"/>
      <c r="D59" s="7">
        <f t="shared" ref="D59:P59" si="12">SUM(D55:D58)</f>
        <v>329</v>
      </c>
      <c r="E59" s="7">
        <f t="shared" si="12"/>
        <v>759</v>
      </c>
      <c r="F59" s="7">
        <f t="shared" si="12"/>
        <v>4890</v>
      </c>
      <c r="G59" s="7">
        <f t="shared" si="12"/>
        <v>5978</v>
      </c>
      <c r="H59" s="7">
        <f t="shared" si="12"/>
        <v>1197</v>
      </c>
      <c r="I59" s="7">
        <f t="shared" si="12"/>
        <v>645</v>
      </c>
      <c r="J59" s="7">
        <f t="shared" si="12"/>
        <v>746</v>
      </c>
      <c r="K59" s="7">
        <f t="shared" si="12"/>
        <v>415</v>
      </c>
      <c r="L59" s="7">
        <f t="shared" si="12"/>
        <v>163</v>
      </c>
      <c r="M59" s="7">
        <f t="shared" si="12"/>
        <v>51</v>
      </c>
      <c r="N59" s="7">
        <f t="shared" si="12"/>
        <v>3217</v>
      </c>
      <c r="O59" s="7">
        <f t="shared" si="12"/>
        <v>17</v>
      </c>
      <c r="P59" s="7">
        <f t="shared" si="12"/>
        <v>9212</v>
      </c>
    </row>
    <row r="60" spans="1:16" ht="16.5" customHeight="1">
      <c r="A60" s="21" t="s">
        <v>35</v>
      </c>
      <c r="B60" s="10" t="s">
        <v>20</v>
      </c>
      <c r="C60" s="10"/>
      <c r="D60" s="6">
        <v>45</v>
      </c>
      <c r="E60" s="6">
        <v>185</v>
      </c>
      <c r="F60" s="6">
        <v>879</v>
      </c>
      <c r="G60" s="7">
        <f>SUM(D60:F60)</f>
        <v>1109</v>
      </c>
      <c r="H60" s="6">
        <v>96</v>
      </c>
      <c r="I60" s="6">
        <v>56</v>
      </c>
      <c r="J60" s="6">
        <v>44</v>
      </c>
      <c r="K60" s="6">
        <v>34</v>
      </c>
      <c r="L60" s="6">
        <v>8</v>
      </c>
      <c r="M60" s="6">
        <v>3</v>
      </c>
      <c r="N60" s="7">
        <f>SUM(H60:M60)</f>
        <v>241</v>
      </c>
      <c r="O60" s="6">
        <v>1</v>
      </c>
      <c r="P60" s="7">
        <f>G60+N60+O60</f>
        <v>1351</v>
      </c>
    </row>
    <row r="61" spans="1:16" ht="16.5" customHeight="1">
      <c r="A61" s="21"/>
      <c r="B61" s="10" t="s">
        <v>21</v>
      </c>
      <c r="C61" s="10"/>
      <c r="D61" s="6">
        <v>165</v>
      </c>
      <c r="E61" s="6">
        <v>441</v>
      </c>
      <c r="F61" s="6">
        <v>2784</v>
      </c>
      <c r="G61" s="7">
        <f>SUM(D61:F61)</f>
        <v>3390</v>
      </c>
      <c r="H61" s="6">
        <v>1037</v>
      </c>
      <c r="I61" s="6">
        <v>618</v>
      </c>
      <c r="J61" s="6">
        <v>733</v>
      </c>
      <c r="K61" s="6">
        <v>392</v>
      </c>
      <c r="L61" s="6">
        <v>164</v>
      </c>
      <c r="M61" s="6">
        <v>50</v>
      </c>
      <c r="N61" s="7">
        <f>SUM(H61:M61)</f>
        <v>2994</v>
      </c>
      <c r="O61" s="6">
        <v>22</v>
      </c>
      <c r="P61" s="7">
        <f>G61+N61+O61</f>
        <v>6406</v>
      </c>
    </row>
    <row r="62" spans="1:16" ht="16.5" customHeight="1">
      <c r="A62" s="21"/>
      <c r="B62" s="10" t="s">
        <v>33</v>
      </c>
      <c r="C62" s="10"/>
      <c r="D62" s="6">
        <v>0</v>
      </c>
      <c r="E62" s="6">
        <v>0</v>
      </c>
      <c r="F62" s="6">
        <v>0</v>
      </c>
      <c r="G62" s="7">
        <f>SUM(D62:F62)</f>
        <v>0</v>
      </c>
      <c r="H62" s="6">
        <v>0</v>
      </c>
      <c r="I62" s="6">
        <v>2</v>
      </c>
      <c r="J62" s="6">
        <v>0</v>
      </c>
      <c r="K62" s="6">
        <v>0</v>
      </c>
      <c r="L62" s="6">
        <v>0</v>
      </c>
      <c r="M62" s="6">
        <v>0</v>
      </c>
      <c r="N62" s="7">
        <f>SUM(H62:M62)</f>
        <v>2</v>
      </c>
      <c r="O62" s="6">
        <v>0</v>
      </c>
      <c r="P62" s="7">
        <f>G62+N62+O62</f>
        <v>2</v>
      </c>
    </row>
    <row r="63" spans="1:16" ht="16.5" customHeight="1">
      <c r="A63" s="21"/>
      <c r="B63" s="10" t="s">
        <v>7</v>
      </c>
      <c r="C63" s="10"/>
      <c r="D63" s="6">
        <v>0</v>
      </c>
      <c r="E63" s="6">
        <v>4</v>
      </c>
      <c r="F63" s="6">
        <v>17</v>
      </c>
      <c r="G63" s="7">
        <f>SUM(D63:F63)</f>
        <v>21</v>
      </c>
      <c r="H63" s="6">
        <v>2</v>
      </c>
      <c r="I63" s="6">
        <v>1</v>
      </c>
      <c r="J63" s="6">
        <v>1</v>
      </c>
      <c r="K63" s="6">
        <v>1</v>
      </c>
      <c r="L63" s="6">
        <v>1</v>
      </c>
      <c r="M63" s="6">
        <v>0</v>
      </c>
      <c r="N63" s="7">
        <f>SUM(H63:M63)</f>
        <v>6</v>
      </c>
      <c r="O63" s="6">
        <v>1</v>
      </c>
      <c r="P63" s="7">
        <f>G63+N63+O63</f>
        <v>28</v>
      </c>
    </row>
    <row r="64" spans="1:16" ht="16.5" customHeight="1">
      <c r="A64" s="21"/>
      <c r="B64" s="11" t="s">
        <v>8</v>
      </c>
      <c r="C64" s="11"/>
      <c r="D64" s="7">
        <f t="shared" ref="D64:P64" si="13">SUM(D60:D63)</f>
        <v>210</v>
      </c>
      <c r="E64" s="7">
        <f t="shared" si="13"/>
        <v>630</v>
      </c>
      <c r="F64" s="7">
        <f t="shared" si="13"/>
        <v>3680</v>
      </c>
      <c r="G64" s="7">
        <f t="shared" si="13"/>
        <v>4520</v>
      </c>
      <c r="H64" s="7">
        <f t="shared" si="13"/>
        <v>1135</v>
      </c>
      <c r="I64" s="7">
        <f t="shared" si="13"/>
        <v>677</v>
      </c>
      <c r="J64" s="7">
        <f t="shared" si="13"/>
        <v>778</v>
      </c>
      <c r="K64" s="7">
        <f t="shared" si="13"/>
        <v>427</v>
      </c>
      <c r="L64" s="7">
        <f t="shared" si="13"/>
        <v>173</v>
      </c>
      <c r="M64" s="7">
        <f t="shared" si="13"/>
        <v>53</v>
      </c>
      <c r="N64" s="7">
        <f t="shared" si="13"/>
        <v>3243</v>
      </c>
      <c r="O64" s="7">
        <f t="shared" si="13"/>
        <v>24</v>
      </c>
      <c r="P64" s="7">
        <f t="shared" si="13"/>
        <v>7787</v>
      </c>
    </row>
    <row r="65" spans="1:16" ht="16.5" customHeight="1">
      <c r="A65" s="21" t="s">
        <v>36</v>
      </c>
      <c r="B65" s="10" t="s">
        <v>20</v>
      </c>
      <c r="C65" s="10"/>
      <c r="D65" s="6">
        <v>35</v>
      </c>
      <c r="E65" s="6">
        <v>157</v>
      </c>
      <c r="F65" s="6">
        <v>950</v>
      </c>
      <c r="G65" s="7">
        <f>SUM(D65:F65)</f>
        <v>1142</v>
      </c>
      <c r="H65" s="6">
        <v>93</v>
      </c>
      <c r="I65" s="6">
        <v>53</v>
      </c>
      <c r="J65" s="6">
        <v>53</v>
      </c>
      <c r="K65" s="6">
        <v>20</v>
      </c>
      <c r="L65" s="6">
        <v>16</v>
      </c>
      <c r="M65" s="6">
        <v>5</v>
      </c>
      <c r="N65" s="7">
        <f>SUM(H65:M65)</f>
        <v>240</v>
      </c>
      <c r="O65" s="6">
        <v>1</v>
      </c>
      <c r="P65" s="7">
        <f>G65+N65+O65</f>
        <v>1383</v>
      </c>
    </row>
    <row r="66" spans="1:16" ht="16.5" customHeight="1">
      <c r="A66" s="21"/>
      <c r="B66" s="10" t="s">
        <v>21</v>
      </c>
      <c r="C66" s="10"/>
      <c r="D66" s="6">
        <v>167</v>
      </c>
      <c r="E66" s="6">
        <v>450</v>
      </c>
      <c r="F66" s="6">
        <v>3023</v>
      </c>
      <c r="G66" s="7">
        <f>SUM(D66:F66)</f>
        <v>3640</v>
      </c>
      <c r="H66" s="6">
        <v>1119</v>
      </c>
      <c r="I66" s="6">
        <v>709</v>
      </c>
      <c r="J66" s="6">
        <v>776</v>
      </c>
      <c r="K66" s="6">
        <v>469</v>
      </c>
      <c r="L66" s="6">
        <v>202</v>
      </c>
      <c r="M66" s="6">
        <v>45</v>
      </c>
      <c r="N66" s="7">
        <f>SUM(H66:M66)</f>
        <v>3320</v>
      </c>
      <c r="O66" s="6">
        <v>22</v>
      </c>
      <c r="P66" s="7">
        <f>G66+N66+O66</f>
        <v>6982</v>
      </c>
    </row>
    <row r="67" spans="1:16" ht="16.5" customHeight="1">
      <c r="A67" s="21"/>
      <c r="B67" s="10" t="s">
        <v>33</v>
      </c>
      <c r="C67" s="10"/>
      <c r="D67" s="6">
        <v>0</v>
      </c>
      <c r="E67" s="6">
        <v>0</v>
      </c>
      <c r="F67" s="6">
        <v>0</v>
      </c>
      <c r="G67" s="7">
        <f>SUM(D67:F67)</f>
        <v>0</v>
      </c>
      <c r="H67" s="6">
        <v>2</v>
      </c>
      <c r="I67" s="6">
        <v>1</v>
      </c>
      <c r="J67" s="6">
        <v>0</v>
      </c>
      <c r="K67" s="6">
        <v>0</v>
      </c>
      <c r="L67" s="6">
        <v>0</v>
      </c>
      <c r="M67" s="6">
        <v>0</v>
      </c>
      <c r="N67" s="7">
        <f>SUM(H67:M67)</f>
        <v>3</v>
      </c>
      <c r="O67" s="6">
        <v>0</v>
      </c>
      <c r="P67" s="7">
        <f>G67+N67+O67</f>
        <v>3</v>
      </c>
    </row>
    <row r="68" spans="1:16" ht="16.5" customHeight="1">
      <c r="A68" s="21"/>
      <c r="B68" s="10" t="s">
        <v>7</v>
      </c>
      <c r="C68" s="10"/>
      <c r="D68" s="6">
        <v>1</v>
      </c>
      <c r="E68" s="6">
        <v>1</v>
      </c>
      <c r="F68" s="6">
        <v>25</v>
      </c>
      <c r="G68" s="7">
        <f>SUM(D68:F68)</f>
        <v>27</v>
      </c>
      <c r="H68" s="6">
        <v>2</v>
      </c>
      <c r="I68" s="6">
        <v>0</v>
      </c>
      <c r="J68" s="6">
        <v>2</v>
      </c>
      <c r="K68" s="6">
        <v>0</v>
      </c>
      <c r="L68" s="6">
        <v>0</v>
      </c>
      <c r="M68" s="6">
        <v>0</v>
      </c>
      <c r="N68" s="7">
        <f>SUM(H68:M68)</f>
        <v>4</v>
      </c>
      <c r="O68" s="6">
        <v>2</v>
      </c>
      <c r="P68" s="7">
        <f>G68+N68+O68</f>
        <v>33</v>
      </c>
    </row>
    <row r="69" spans="1:16" ht="16.5" customHeight="1">
      <c r="A69" s="21"/>
      <c r="B69" s="11" t="s">
        <v>8</v>
      </c>
      <c r="C69" s="11"/>
      <c r="D69" s="7">
        <f t="shared" ref="D69:P69" si="14">SUM(D65:D68)</f>
        <v>203</v>
      </c>
      <c r="E69" s="7">
        <f t="shared" si="14"/>
        <v>608</v>
      </c>
      <c r="F69" s="7">
        <f t="shared" si="14"/>
        <v>3998</v>
      </c>
      <c r="G69" s="7">
        <f t="shared" si="14"/>
        <v>4809</v>
      </c>
      <c r="H69" s="7">
        <f t="shared" si="14"/>
        <v>1216</v>
      </c>
      <c r="I69" s="7">
        <f t="shared" si="14"/>
        <v>763</v>
      </c>
      <c r="J69" s="7">
        <f t="shared" si="14"/>
        <v>831</v>
      </c>
      <c r="K69" s="7">
        <f t="shared" si="14"/>
        <v>489</v>
      </c>
      <c r="L69" s="7">
        <f t="shared" si="14"/>
        <v>218</v>
      </c>
      <c r="M69" s="7">
        <f t="shared" si="14"/>
        <v>50</v>
      </c>
      <c r="N69" s="7">
        <f t="shared" si="14"/>
        <v>3567</v>
      </c>
      <c r="O69" s="7">
        <f t="shared" si="14"/>
        <v>25</v>
      </c>
      <c r="P69" s="7">
        <f t="shared" si="14"/>
        <v>8401</v>
      </c>
    </row>
    <row r="70" spans="1:16" ht="16.5" customHeight="1">
      <c r="A70" s="21" t="s">
        <v>37</v>
      </c>
      <c r="B70" s="10" t="s">
        <v>20</v>
      </c>
      <c r="C70" s="10"/>
      <c r="D70" s="6">
        <v>31</v>
      </c>
      <c r="E70" s="6">
        <v>230</v>
      </c>
      <c r="F70" s="6">
        <v>1032</v>
      </c>
      <c r="G70" s="7">
        <f>SUM(D70:F70)</f>
        <v>1293</v>
      </c>
      <c r="H70" s="6">
        <v>135</v>
      </c>
      <c r="I70" s="6">
        <v>83</v>
      </c>
      <c r="J70" s="6">
        <v>86</v>
      </c>
      <c r="K70" s="6">
        <v>42</v>
      </c>
      <c r="L70" s="6">
        <v>15</v>
      </c>
      <c r="M70" s="6">
        <v>6</v>
      </c>
      <c r="N70" s="7">
        <f>SUM(H70:M70)</f>
        <v>367</v>
      </c>
      <c r="O70" s="6">
        <v>5</v>
      </c>
      <c r="P70" s="7">
        <f>G70+N70+O70</f>
        <v>1665</v>
      </c>
    </row>
    <row r="71" spans="1:16" ht="16.5" customHeight="1">
      <c r="A71" s="21"/>
      <c r="B71" s="10" t="s">
        <v>21</v>
      </c>
      <c r="C71" s="10"/>
      <c r="D71" s="6">
        <v>175</v>
      </c>
      <c r="E71" s="6">
        <v>532</v>
      </c>
      <c r="F71" s="6">
        <v>3122</v>
      </c>
      <c r="G71" s="7">
        <f>SUM(D71:F71)</f>
        <v>3829</v>
      </c>
      <c r="H71" s="6">
        <v>1185</v>
      </c>
      <c r="I71" s="6">
        <v>804</v>
      </c>
      <c r="J71" s="6">
        <v>948</v>
      </c>
      <c r="K71" s="6">
        <v>582</v>
      </c>
      <c r="L71" s="6">
        <v>241</v>
      </c>
      <c r="M71" s="6">
        <v>76</v>
      </c>
      <c r="N71" s="7">
        <f>SUM(H71:M71)</f>
        <v>3836</v>
      </c>
      <c r="O71" s="6">
        <v>33</v>
      </c>
      <c r="P71" s="7">
        <f>G71+N71+O71</f>
        <v>7698</v>
      </c>
    </row>
    <row r="72" spans="1:16" ht="16.5" customHeight="1">
      <c r="A72" s="21"/>
      <c r="B72" s="10" t="s">
        <v>33</v>
      </c>
      <c r="C72" s="10"/>
      <c r="D72" s="6">
        <v>0</v>
      </c>
      <c r="E72" s="6">
        <v>1</v>
      </c>
      <c r="F72" s="6">
        <v>1</v>
      </c>
      <c r="G72" s="7">
        <f>SUM(D72:F72)</f>
        <v>2</v>
      </c>
      <c r="H72" s="6">
        <v>2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7">
        <f>SUM(H72:M72)</f>
        <v>2</v>
      </c>
      <c r="O72" s="6">
        <v>0</v>
      </c>
      <c r="P72" s="7">
        <f>G72+N72+O72</f>
        <v>4</v>
      </c>
    </row>
    <row r="73" spans="1:16" ht="16.5" customHeight="1">
      <c r="A73" s="21"/>
      <c r="B73" s="10" t="s">
        <v>7</v>
      </c>
      <c r="C73" s="10"/>
      <c r="D73" s="6">
        <v>0</v>
      </c>
      <c r="E73" s="6">
        <v>4</v>
      </c>
      <c r="F73" s="6">
        <v>27</v>
      </c>
      <c r="G73" s="7">
        <f>SUM(D73:F73)</f>
        <v>31</v>
      </c>
      <c r="H73" s="6">
        <v>1</v>
      </c>
      <c r="I73" s="6">
        <v>3</v>
      </c>
      <c r="J73" s="6">
        <v>5</v>
      </c>
      <c r="K73" s="6">
        <v>3</v>
      </c>
      <c r="L73" s="6">
        <v>0</v>
      </c>
      <c r="M73" s="6">
        <v>0</v>
      </c>
      <c r="N73" s="7">
        <f>SUM(H73:M73)</f>
        <v>12</v>
      </c>
      <c r="O73" s="6">
        <v>3</v>
      </c>
      <c r="P73" s="7">
        <f>G73+N73+O73</f>
        <v>46</v>
      </c>
    </row>
    <row r="74" spans="1:16" ht="16.5" customHeight="1">
      <c r="A74" s="21"/>
      <c r="B74" s="11" t="s">
        <v>8</v>
      </c>
      <c r="C74" s="11"/>
      <c r="D74" s="7">
        <f t="shared" ref="D74:P74" si="15">SUM(D70:D73)</f>
        <v>206</v>
      </c>
      <c r="E74" s="7">
        <f t="shared" si="15"/>
        <v>767</v>
      </c>
      <c r="F74" s="7">
        <f t="shared" si="15"/>
        <v>4182</v>
      </c>
      <c r="G74" s="7">
        <f t="shared" si="15"/>
        <v>5155</v>
      </c>
      <c r="H74" s="7">
        <f t="shared" si="15"/>
        <v>1323</v>
      </c>
      <c r="I74" s="7">
        <f t="shared" si="15"/>
        <v>890</v>
      </c>
      <c r="J74" s="7">
        <f t="shared" si="15"/>
        <v>1039</v>
      </c>
      <c r="K74" s="7">
        <f t="shared" si="15"/>
        <v>627</v>
      </c>
      <c r="L74" s="7">
        <f t="shared" si="15"/>
        <v>256</v>
      </c>
      <c r="M74" s="7">
        <f t="shared" si="15"/>
        <v>82</v>
      </c>
      <c r="N74" s="7">
        <f t="shared" si="15"/>
        <v>4217</v>
      </c>
      <c r="O74" s="7">
        <f t="shared" si="15"/>
        <v>41</v>
      </c>
      <c r="P74" s="7">
        <f t="shared" si="15"/>
        <v>9413</v>
      </c>
    </row>
    <row r="75" spans="1:16" ht="16.5" customHeight="1">
      <c r="A75" s="9" t="s">
        <v>38</v>
      </c>
      <c r="B75" s="10" t="s">
        <v>20</v>
      </c>
      <c r="C75" s="10"/>
      <c r="D75" s="6">
        <v>45</v>
      </c>
      <c r="E75" s="6">
        <v>263</v>
      </c>
      <c r="F75" s="6">
        <v>877</v>
      </c>
      <c r="G75" s="7">
        <f>SUM(D75:F75)</f>
        <v>1185</v>
      </c>
      <c r="H75" s="6">
        <v>157</v>
      </c>
      <c r="I75" s="6">
        <v>99</v>
      </c>
      <c r="J75" s="6">
        <v>105</v>
      </c>
      <c r="K75" s="6">
        <v>37</v>
      </c>
      <c r="L75" s="6">
        <v>21</v>
      </c>
      <c r="M75" s="6">
        <v>5</v>
      </c>
      <c r="N75" s="7">
        <f>SUM(H75:M75)</f>
        <v>424</v>
      </c>
      <c r="O75" s="6">
        <v>3</v>
      </c>
      <c r="P75" s="7">
        <f>G75+N75+O75</f>
        <v>1612</v>
      </c>
    </row>
    <row r="76" spans="1:16" ht="16.5" customHeight="1">
      <c r="A76" s="9"/>
      <c r="B76" s="10" t="s">
        <v>21</v>
      </c>
      <c r="C76" s="10"/>
      <c r="D76" s="6">
        <v>220</v>
      </c>
      <c r="E76" s="6">
        <v>564</v>
      </c>
      <c r="F76" s="6">
        <v>2788</v>
      </c>
      <c r="G76" s="7">
        <f>SUM(D76:F76)</f>
        <v>3572</v>
      </c>
      <c r="H76" s="6">
        <v>1224</v>
      </c>
      <c r="I76" s="6">
        <v>869</v>
      </c>
      <c r="J76" s="6">
        <v>969</v>
      </c>
      <c r="K76" s="6">
        <v>594</v>
      </c>
      <c r="L76" s="6">
        <v>245</v>
      </c>
      <c r="M76" s="6">
        <v>71</v>
      </c>
      <c r="N76" s="7">
        <f>SUM(H76:M76)</f>
        <v>3972</v>
      </c>
      <c r="O76" s="6">
        <v>28</v>
      </c>
      <c r="P76" s="7">
        <f>G76+N76+O76</f>
        <v>7572</v>
      </c>
    </row>
    <row r="77" spans="1:16" ht="16.5" customHeight="1">
      <c r="A77" s="9"/>
      <c r="B77" s="10" t="s">
        <v>33</v>
      </c>
      <c r="C77" s="10"/>
      <c r="D77" s="6">
        <v>0</v>
      </c>
      <c r="E77" s="6">
        <v>0</v>
      </c>
      <c r="F77" s="6">
        <v>1</v>
      </c>
      <c r="G77" s="7">
        <f>SUM(D77:F77)</f>
        <v>1</v>
      </c>
      <c r="H77" s="6">
        <v>2</v>
      </c>
      <c r="I77" s="6">
        <v>0</v>
      </c>
      <c r="J77" s="6">
        <v>2</v>
      </c>
      <c r="K77" s="6">
        <v>0</v>
      </c>
      <c r="L77" s="6">
        <v>1</v>
      </c>
      <c r="M77" s="6">
        <v>0</v>
      </c>
      <c r="N77" s="7">
        <f>SUM(H77:M77)</f>
        <v>5</v>
      </c>
      <c r="O77" s="6">
        <v>0</v>
      </c>
      <c r="P77" s="7">
        <f>G77+N77+O77</f>
        <v>6</v>
      </c>
    </row>
    <row r="78" spans="1:16" ht="16.5" customHeight="1">
      <c r="A78" s="9"/>
      <c r="B78" s="10" t="s">
        <v>7</v>
      </c>
      <c r="C78" s="10"/>
      <c r="D78" s="6">
        <v>1</v>
      </c>
      <c r="E78" s="6">
        <v>3</v>
      </c>
      <c r="F78" s="6">
        <v>30</v>
      </c>
      <c r="G78" s="7">
        <f>SUM(D78:F78)</f>
        <v>34</v>
      </c>
      <c r="H78" s="6">
        <v>0</v>
      </c>
      <c r="I78" s="6">
        <v>2</v>
      </c>
      <c r="J78" s="6">
        <v>4</v>
      </c>
      <c r="K78" s="6">
        <v>0</v>
      </c>
      <c r="L78" s="6">
        <v>0</v>
      </c>
      <c r="M78" s="6">
        <v>0</v>
      </c>
      <c r="N78" s="7">
        <f>SUM(H78:M78)</f>
        <v>6</v>
      </c>
      <c r="O78" s="6">
        <v>0</v>
      </c>
      <c r="P78" s="7">
        <f>G78+N78+O78</f>
        <v>40</v>
      </c>
    </row>
    <row r="79" spans="1:16" ht="16.5" customHeight="1">
      <c r="A79" s="9"/>
      <c r="B79" s="11" t="s">
        <v>8</v>
      </c>
      <c r="C79" s="11"/>
      <c r="D79" s="7">
        <f t="shared" ref="D79:P79" si="16">SUM(D75:D78)</f>
        <v>266</v>
      </c>
      <c r="E79" s="7">
        <f t="shared" si="16"/>
        <v>830</v>
      </c>
      <c r="F79" s="7">
        <f t="shared" si="16"/>
        <v>3696</v>
      </c>
      <c r="G79" s="7">
        <f t="shared" si="16"/>
        <v>4792</v>
      </c>
      <c r="H79" s="7">
        <f t="shared" si="16"/>
        <v>1383</v>
      </c>
      <c r="I79" s="7">
        <f t="shared" si="16"/>
        <v>970</v>
      </c>
      <c r="J79" s="7">
        <f t="shared" si="16"/>
        <v>1080</v>
      </c>
      <c r="K79" s="7">
        <f t="shared" si="16"/>
        <v>631</v>
      </c>
      <c r="L79" s="7">
        <f t="shared" si="16"/>
        <v>267</v>
      </c>
      <c r="M79" s="7">
        <f t="shared" si="16"/>
        <v>76</v>
      </c>
      <c r="N79" s="7">
        <f t="shared" si="16"/>
        <v>4407</v>
      </c>
      <c r="O79" s="7">
        <f t="shared" si="16"/>
        <v>31</v>
      </c>
      <c r="P79" s="7">
        <f t="shared" si="16"/>
        <v>9230</v>
      </c>
    </row>
    <row r="80" spans="1:16" ht="16.5">
      <c r="A80" s="9" t="s">
        <v>41</v>
      </c>
      <c r="B80" s="10" t="s">
        <v>20</v>
      </c>
      <c r="C80" s="10"/>
      <c r="D80" s="6">
        <v>44</v>
      </c>
      <c r="E80" s="6">
        <v>229</v>
      </c>
      <c r="F80" s="6">
        <v>835</v>
      </c>
      <c r="G80" s="7">
        <f>SUM(D80:F80)</f>
        <v>1108</v>
      </c>
      <c r="H80" s="6">
        <v>162</v>
      </c>
      <c r="I80" s="6">
        <v>118</v>
      </c>
      <c r="J80" s="6">
        <v>130</v>
      </c>
      <c r="K80" s="6">
        <v>49</v>
      </c>
      <c r="L80" s="6">
        <v>23</v>
      </c>
      <c r="M80" s="6">
        <v>6</v>
      </c>
      <c r="N80" s="7">
        <f>SUM(H80:M80)</f>
        <v>488</v>
      </c>
      <c r="O80" s="6">
        <v>7</v>
      </c>
      <c r="P80" s="7">
        <f>G80+N80+O80</f>
        <v>1603</v>
      </c>
    </row>
    <row r="81" spans="1:16" ht="16.5">
      <c r="A81" s="9"/>
      <c r="B81" s="10" t="s">
        <v>21</v>
      </c>
      <c r="C81" s="10"/>
      <c r="D81" s="6">
        <v>187</v>
      </c>
      <c r="E81" s="6">
        <v>522</v>
      </c>
      <c r="F81" s="6">
        <v>2877</v>
      </c>
      <c r="G81" s="7">
        <f>SUM(D81:F81)</f>
        <v>3586</v>
      </c>
      <c r="H81" s="6">
        <v>1274</v>
      </c>
      <c r="I81" s="6">
        <v>961</v>
      </c>
      <c r="J81" s="6">
        <v>1075</v>
      </c>
      <c r="K81" s="6">
        <v>648</v>
      </c>
      <c r="L81" s="6">
        <v>268</v>
      </c>
      <c r="M81" s="6">
        <v>85</v>
      </c>
      <c r="N81" s="7">
        <f>SUM(H81:M81)</f>
        <v>4311</v>
      </c>
      <c r="O81" s="6">
        <v>38</v>
      </c>
      <c r="P81" s="7">
        <f>G81+N81+O81</f>
        <v>7935</v>
      </c>
    </row>
    <row r="82" spans="1:16" ht="16.5">
      <c r="A82" s="9"/>
      <c r="B82" s="10" t="s">
        <v>33</v>
      </c>
      <c r="C82" s="10"/>
      <c r="D82" s="6">
        <v>0</v>
      </c>
      <c r="E82" s="6">
        <v>0</v>
      </c>
      <c r="F82" s="6">
        <v>0</v>
      </c>
      <c r="G82" s="7">
        <f>SUM(D82:F82)</f>
        <v>0</v>
      </c>
      <c r="H82" s="6">
        <v>1</v>
      </c>
      <c r="I82" s="6">
        <v>0</v>
      </c>
      <c r="J82" s="6">
        <v>1</v>
      </c>
      <c r="K82" s="6">
        <v>0</v>
      </c>
      <c r="L82" s="6">
        <v>0</v>
      </c>
      <c r="M82" s="6">
        <v>0</v>
      </c>
      <c r="N82" s="7">
        <f>SUM(H82:M82)</f>
        <v>2</v>
      </c>
      <c r="O82" s="6">
        <v>0</v>
      </c>
      <c r="P82" s="7">
        <f>G82+N82+O82</f>
        <v>2</v>
      </c>
    </row>
    <row r="83" spans="1:16" ht="16.5">
      <c r="A83" s="9"/>
      <c r="B83" s="10" t="s">
        <v>7</v>
      </c>
      <c r="C83" s="10"/>
      <c r="D83" s="6">
        <v>0</v>
      </c>
      <c r="E83" s="6">
        <v>1</v>
      </c>
      <c r="F83" s="6">
        <v>17</v>
      </c>
      <c r="G83" s="7">
        <f>SUM(D83:F83)</f>
        <v>18</v>
      </c>
      <c r="H83" s="6">
        <v>2</v>
      </c>
      <c r="I83" s="6">
        <v>1</v>
      </c>
      <c r="J83" s="6">
        <v>0</v>
      </c>
      <c r="K83" s="6">
        <v>0</v>
      </c>
      <c r="L83" s="6">
        <v>0</v>
      </c>
      <c r="M83" s="6">
        <v>0</v>
      </c>
      <c r="N83" s="7">
        <f>SUM(H83:M83)</f>
        <v>3</v>
      </c>
      <c r="O83" s="6">
        <v>4</v>
      </c>
      <c r="P83" s="7">
        <f>G83+N83+O83</f>
        <v>25</v>
      </c>
    </row>
    <row r="84" spans="1:16" ht="16.5">
      <c r="A84" s="9"/>
      <c r="B84" s="11" t="s">
        <v>8</v>
      </c>
      <c r="C84" s="11"/>
      <c r="D84" s="7">
        <f t="shared" ref="D84:P84" si="17">SUM(D80:D83)</f>
        <v>231</v>
      </c>
      <c r="E84" s="7">
        <f t="shared" si="17"/>
        <v>752</v>
      </c>
      <c r="F84" s="7">
        <f t="shared" si="17"/>
        <v>3729</v>
      </c>
      <c r="G84" s="7">
        <f t="shared" si="17"/>
        <v>4712</v>
      </c>
      <c r="H84" s="7">
        <f t="shared" si="17"/>
        <v>1439</v>
      </c>
      <c r="I84" s="7">
        <f t="shared" si="17"/>
        <v>1080</v>
      </c>
      <c r="J84" s="7">
        <f t="shared" si="17"/>
        <v>1206</v>
      </c>
      <c r="K84" s="7">
        <f t="shared" si="17"/>
        <v>697</v>
      </c>
      <c r="L84" s="7">
        <f t="shared" si="17"/>
        <v>291</v>
      </c>
      <c r="M84" s="7">
        <f t="shared" si="17"/>
        <v>91</v>
      </c>
      <c r="N84" s="7">
        <f t="shared" si="17"/>
        <v>4804</v>
      </c>
      <c r="O84" s="7">
        <f t="shared" si="17"/>
        <v>49</v>
      </c>
      <c r="P84" s="7">
        <f t="shared" si="17"/>
        <v>9565</v>
      </c>
    </row>
    <row r="86" spans="1:16" ht="14.25">
      <c r="A86" s="8" t="s">
        <v>39</v>
      </c>
    </row>
  </sheetData>
  <mergeCells count="105">
    <mergeCell ref="A70:A74"/>
    <mergeCell ref="B70:C70"/>
    <mergeCell ref="B71:C71"/>
    <mergeCell ref="B72:C72"/>
    <mergeCell ref="B73:C73"/>
    <mergeCell ref="B74:C74"/>
    <mergeCell ref="A80:A84"/>
    <mergeCell ref="B80:C80"/>
    <mergeCell ref="B81:C81"/>
    <mergeCell ref="B82:C82"/>
    <mergeCell ref="B83:C83"/>
    <mergeCell ref="B84:C84"/>
    <mergeCell ref="A60:A64"/>
    <mergeCell ref="B60:C60"/>
    <mergeCell ref="B61:C61"/>
    <mergeCell ref="B62:C62"/>
    <mergeCell ref="B63:C63"/>
    <mergeCell ref="B64:C64"/>
    <mergeCell ref="A65:A69"/>
    <mergeCell ref="B65:C65"/>
    <mergeCell ref="B66:C66"/>
    <mergeCell ref="B67:C67"/>
    <mergeCell ref="B68:C68"/>
    <mergeCell ref="B69:C69"/>
    <mergeCell ref="A46:A49"/>
    <mergeCell ref="B46:C46"/>
    <mergeCell ref="B47:C47"/>
    <mergeCell ref="B48:C48"/>
    <mergeCell ref="B49:C49"/>
    <mergeCell ref="B54:C54"/>
    <mergeCell ref="A55:A59"/>
    <mergeCell ref="B55:C55"/>
    <mergeCell ref="B56:C56"/>
    <mergeCell ref="B57:C57"/>
    <mergeCell ref="B58:C58"/>
    <mergeCell ref="B59:C59"/>
    <mergeCell ref="A50:A54"/>
    <mergeCell ref="B50:C50"/>
    <mergeCell ref="B51:C51"/>
    <mergeCell ref="B52:C52"/>
    <mergeCell ref="B53:C53"/>
    <mergeCell ref="A42:A45"/>
    <mergeCell ref="B42:C42"/>
    <mergeCell ref="B43:C43"/>
    <mergeCell ref="B44:C44"/>
    <mergeCell ref="B45:C45"/>
    <mergeCell ref="A38:A41"/>
    <mergeCell ref="B38:C38"/>
    <mergeCell ref="B39:C39"/>
    <mergeCell ref="B40:C40"/>
    <mergeCell ref="B41:C41"/>
    <mergeCell ref="A34:A37"/>
    <mergeCell ref="B34:C34"/>
    <mergeCell ref="B35:C35"/>
    <mergeCell ref="B36:C36"/>
    <mergeCell ref="B37:C37"/>
    <mergeCell ref="A30:A33"/>
    <mergeCell ref="B30:C30"/>
    <mergeCell ref="B31:C31"/>
    <mergeCell ref="B32:C32"/>
    <mergeCell ref="B33:C33"/>
    <mergeCell ref="A26:A29"/>
    <mergeCell ref="B26:C26"/>
    <mergeCell ref="B27:C27"/>
    <mergeCell ref="B28:C28"/>
    <mergeCell ref="B29:C29"/>
    <mergeCell ref="A22:A25"/>
    <mergeCell ref="B22:C22"/>
    <mergeCell ref="B23:C23"/>
    <mergeCell ref="B24:C24"/>
    <mergeCell ref="B25:C25"/>
    <mergeCell ref="A18:A21"/>
    <mergeCell ref="B18:C18"/>
    <mergeCell ref="B19:C19"/>
    <mergeCell ref="B20:C20"/>
    <mergeCell ref="B21:C21"/>
    <mergeCell ref="A14:A17"/>
    <mergeCell ref="B14:C14"/>
    <mergeCell ref="B15:C15"/>
    <mergeCell ref="B16:C16"/>
    <mergeCell ref="B17:C17"/>
    <mergeCell ref="A75:A79"/>
    <mergeCell ref="B75:C75"/>
    <mergeCell ref="B76:C76"/>
    <mergeCell ref="B77:C77"/>
    <mergeCell ref="B78:C78"/>
    <mergeCell ref="B79:C79"/>
    <mergeCell ref="A1:Q1"/>
    <mergeCell ref="A3:A5"/>
    <mergeCell ref="B3:B5"/>
    <mergeCell ref="D3:P3"/>
    <mergeCell ref="C4:C5"/>
    <mergeCell ref="D4:G4"/>
    <mergeCell ref="H4:N4"/>
    <mergeCell ref="O4:O5"/>
    <mergeCell ref="A10:A13"/>
    <mergeCell ref="B10:C10"/>
    <mergeCell ref="B11:C11"/>
    <mergeCell ref="B12:C12"/>
    <mergeCell ref="B13:C13"/>
    <mergeCell ref="A6:A9"/>
    <mergeCell ref="B6:C6"/>
    <mergeCell ref="B7:C7"/>
    <mergeCell ref="B8:C8"/>
    <mergeCell ref="B9:C9"/>
  </mergeCells>
  <phoneticPr fontId="25" type="noConversion"/>
  <pageMargins left="0.511811023622047" right="0.511811023622047" top="0.511811023622047" bottom="0.511811023622047" header="0.511811023622047" footer="0.511811023622047"/>
  <pageSetup paperSize="9" scale="68" fitToWidth="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性侵害案件被害人年齡與性別交叉統計</vt:lpstr>
      <vt:lpstr>性侵害案件被害人年齡與性別交叉統計!Print_Titles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保護服務司楊展皓</dc:creator>
  <cp:lastModifiedBy>保護服務司楊展皓</cp:lastModifiedBy>
  <cp:lastPrinted>2025-05-07T08:34:14Z</cp:lastPrinted>
  <dcterms:created xsi:type="dcterms:W3CDTF">2020-03-12T07:58:54Z</dcterms:created>
  <dcterms:modified xsi:type="dcterms:W3CDTF">2026-03-02T02:25:45Z</dcterms:modified>
</cp:coreProperties>
</file>